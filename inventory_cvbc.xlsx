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Odyce\Documents\Work_Doc\Archipelago\Belmont_s_Curse_APWorld\"/>
    </mc:Choice>
  </mc:AlternateContent>
  <xr:revisionPtr revIDLastSave="0" documentId="13_ncr:1_{589E1038-6E9F-4B9C-A0BD-C619CC3F7C12}" xr6:coauthVersionLast="47" xr6:coauthVersionMax="47" xr10:uidLastSave="{00000000-0000-0000-0000-000000000000}"/>
  <bookViews>
    <workbookView xWindow="-120" yWindow="-120" windowWidth="29040" windowHeight="15720" tabRatio="568" firstSheet="1" activeTab="8" xr2:uid="{00000000-000D-0000-FFFF-FFFF00000000}"/>
  </bookViews>
  <sheets>
    <sheet name="Help" sheetId="1" r:id="rId1"/>
    <sheet name="Total" sheetId="2" r:id="rId2"/>
    <sheet name="Items" sheetId="3" r:id="rId3"/>
    <sheet name="Locations" sheetId="4" r:id="rId4"/>
    <sheet name="Areas" sheetId="5" r:id="rId5"/>
    <sheet name="Boss" sheetId="6" r:id="rId6"/>
    <sheet name="Endings" sheetId="7" r:id="rId7"/>
    <sheet name="ID Range" sheetId="8" r:id="rId8"/>
    <sheet name="Works of Mercy" sheetId="9" r:id="rId9"/>
    <sheet name="Enemies" sheetId="10" r:id="rId10"/>
    <sheet name="Status" sheetId="11" r:id="rId11"/>
    <sheet name="Progressive Weapons" sheetId="12" r:id="rId12"/>
  </sheets>
  <definedNames>
    <definedName name="_xlnm._FilterDatabase" localSheetId="4" hidden="1">Areas!$A$2:$H$500</definedName>
    <definedName name="_xlnm._FilterDatabase" localSheetId="5" hidden="1">Boss!$A$2:$I$505</definedName>
    <definedName name="_xlnm._FilterDatabase" localSheetId="6" hidden="1">Endings!$A$2:$F$500</definedName>
    <definedName name="_xlnm._FilterDatabase" localSheetId="9" hidden="1">Enemies!$A$2:$E$500</definedName>
    <definedName name="_xlnm._FilterDatabase" localSheetId="7" hidden="1">'ID Range'!$A$2:$F$501</definedName>
    <definedName name="_xlnm._FilterDatabase" localSheetId="2" hidden="1">Items!$A$2:$K$250</definedName>
    <definedName name="_xlnm._FilterDatabase" localSheetId="3" hidden="1">Locations!$A$2:$K$491</definedName>
    <definedName name="_xlnm._FilterDatabase" localSheetId="11" hidden="1">'Progressive Weapons'!$A$2:$E$500</definedName>
    <definedName name="_xlnm._FilterDatabase" localSheetId="10" hidden="1">Status!$A$2:$F$500</definedName>
    <definedName name="_xlnm._FilterDatabase" localSheetId="1" hidden="1">Total!$A$2:$D$501</definedName>
    <definedName name="_xlnm._FilterDatabase" localSheetId="8" hidden="1">'Works of Mercy'!$A$2:$G$499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8" l="1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E3" i="8"/>
  <c r="C3" i="8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B11" i="2" s="1"/>
  <c r="D7" i="2" l="1"/>
  <c r="D9" i="2"/>
  <c r="D8" i="2"/>
  <c r="D10" i="2"/>
  <c r="D5" i="2"/>
  <c r="D6" i="2"/>
  <c r="D4" i="2"/>
  <c r="D3" i="2"/>
  <c r="C11" i="2"/>
  <c r="D11" i="2" l="1"/>
</calcChain>
</file>

<file path=xl/sharedStrings.xml><?xml version="1.0" encoding="utf-8"?>
<sst xmlns="http://schemas.openxmlformats.org/spreadsheetml/2006/main" count="5456" uniqueCount="1612">
  <si>
    <t>Inventory – Castlevania: Belmont's Curse (APWorld cvbc)</t>
  </si>
  <si>
    <t>How to fill</t>
  </si>
  <si>
    <t>• Every Item name and Location name must be UNIQUE: they are used as-is in the Python files.</t>
  </si>
  <si>
    <t>• Location naming convention: « Area abbreviation - Sub-area : Description » (e.g. PS - Sewer Reservoir : Gold Chest).</t>
  </si>
  <si>
    <t>• Several rewards from the same event = several locations: add a suffix (e.g. « … : Leon Belmont Absorbed - Tarot », « - Key », « - Skill »).</t>
  </si>
  <si>
    <t>• Prerequisites: write exact item names, separated by « AND » / « OR » (e.g. Double Jump AND Tarot : The Shadow).</t>
  </si>
  <si>
    <t>• Columns marked ▼ have a dropdown list.</t>
  </si>
  <si>
    <t>• Items › Quantity must be a number: it feeds the Total sheet, which computes itself.</t>
  </si>
  <si>
    <t>• « X » = not applicable.</t>
  </si>
  <si>
    <t>IDs</t>
  </si>
  <si>
    <t>• « AP ID »: ID chosen by us for Archipelago, inside the category range (see ID Range sheet). Never change it once released.</t>
  </si>
  <si>
    <t>• ONE AP ID per item NAME (all copies of « Brave Heart Fragment » share the same ID), ONE AP ID per LOCATION.</t>
  </si>
  <si>
    <t>• « Internal ID (game) »: the game's own identifier (class name, GUID, flag…), to fill during Phase 3. The client maps one to the other.</t>
  </si>
  <si>
    <t>Archipelago classifications</t>
  </si>
  <si>
    <t>• progression: can unlock access to something (abilities, key items, required Tarot cards, The Self…).</t>
  </si>
  <si>
    <t>• useful: helpful but never required.</t>
  </si>
  <si>
    <t>• filler: padding (clues, EXP statues…).</t>
  </si>
  <si>
    <t>• trap: trap (status effects).</t>
  </si>
  <si>
    <t>Area abbreviations</t>
  </si>
  <si>
    <t>• PS = Paris Streets</t>
  </si>
  <si>
    <t>• HIC = Holy Innocents' Cemetery</t>
  </si>
  <si>
    <t>• CoP = Catacombs of Paris</t>
  </si>
  <si>
    <t>• MH = Main Hall</t>
  </si>
  <si>
    <t>• ND = Notre-Dame</t>
  </si>
  <si>
    <t>• L = Library</t>
  </si>
  <si>
    <t>• HoM = Hall of Mirrors</t>
  </si>
  <si>
    <t>• CT = Clock Tower</t>
  </si>
  <si>
    <t>• MQ = Master's Quarter</t>
  </si>
  <si>
    <t>Other sources</t>
  </si>
  <si>
    <t>• Logic data (regions, location prerequisites, statue/augmentation names, internal IDs) comes from the other Discord xlsx « Belmonts_Curse_AP_Logic » (apworld 0.5.15). Notes « Other xlsx #n » give its location number.</t>
  </si>
  <si>
    <t>• Their requirement « A; B » is read as A AND B. Their spell names are written as the matching Tarot card (card = spell).</t>
  </si>
  <si>
    <t>• Locations › Logic region = the region used by Regions.py (see Areas).</t>
  </si>
  <si>
    <t>Naming</t>
  </si>
  <si>
    <t>Computed automatically from the Items and Locations sheets.</t>
  </si>
  <si>
    <t>Category</t>
  </si>
  <si>
    <t>Items (total quantity)</t>
  </si>
  <si>
    <t>Locations</t>
  </si>
  <si>
    <t>Difference (locations − items)</t>
  </si>
  <si>
    <t>Relic</t>
  </si>
  <si>
    <t>Weapon</t>
  </si>
  <si>
    <t>Clue</t>
  </si>
  <si>
    <t>Tarot Cards</t>
  </si>
  <si>
    <t>Augmentation</t>
  </si>
  <si>
    <t>Work of Mercy upgrade</t>
  </si>
  <si>
    <t>Key Item / Skill</t>
  </si>
  <si>
    <t>EXP Statue</t>
  </si>
  <si>
    <t>Total</t>
  </si>
  <si>
    <t>One item per row. HP/MP augmentations: one row « … Heart Fragment » with the total quantity. Quantity 0 = only created by an option.</t>
  </si>
  <si>
    <t>Item name</t>
  </si>
  <si>
    <t>Category ▼</t>
  </si>
  <si>
    <t>Progressive group (weapons)</t>
  </si>
  <si>
    <t>Tier</t>
  </si>
  <si>
    <t>Quantity</t>
  </si>
  <si>
    <t>Classification ▼</t>
  </si>
  <si>
    <t>Vanilla location</t>
  </si>
  <si>
    <t>Required for (ending / area / interaction / Work of Mercy)</t>
  </si>
  <si>
    <t>AP ID</t>
  </si>
  <si>
    <t>Internal ID (game)</t>
  </si>
  <si>
    <t>Notes</t>
  </si>
  <si>
    <t>Abyssal Eye</t>
  </si>
  <si>
    <t>useful</t>
  </si>
  <si>
    <t>HIC - Cemetery Entrance : Silver Chest</t>
  </si>
  <si>
    <t>X</t>
  </si>
  <si>
    <t>Banshee's Wall</t>
  </si>
  <si>
    <t>MH - Servant's Quarters : Silver Chest</t>
  </si>
  <si>
    <t>Beelzebub's Seal</t>
  </si>
  <si>
    <t>ND - Chapel of Patience : Silver Chest</t>
  </si>
  <si>
    <t>Blackened Heart</t>
  </si>
  <si>
    <t>MH - Abandoned Staircase : Silver Chest</t>
  </si>
  <si>
    <t>Blood Vial</t>
  </si>
  <si>
    <t>MH - Archives : Silver Chest</t>
  </si>
  <si>
    <t>Crypt Key</t>
  </si>
  <si>
    <t>PS - Seer's Hovel : Silver Chest</t>
  </si>
  <si>
    <t>Crystallized Blood</t>
  </si>
  <si>
    <t>HoM - Dead-end Tower : Silver Chest</t>
  </si>
  <si>
    <t>Cursed Coin</t>
  </si>
  <si>
    <t>MH - Wine Cellar : Silver Chest</t>
  </si>
  <si>
    <t>Dark Sigil</t>
  </si>
  <si>
    <t>PS - Street of the Tomb Masons : Silver Chest</t>
  </si>
  <si>
    <t>Dusk Amulet</t>
  </si>
  <si>
    <t>HoM - Delived Level : Silver Chest</t>
  </si>
  <si>
    <t>Ebony Claw</t>
  </si>
  <si>
    <t>CoP - Throat of Hell : Silver Chest</t>
  </si>
  <si>
    <t>Eldritch Talisman</t>
  </si>
  <si>
    <t>ND - East Gallery : Silver Chest</t>
  </si>
  <si>
    <t>Forsaken Ring</t>
  </si>
  <si>
    <t>CoP - Antechamber of Sin : Silver Chest</t>
  </si>
  <si>
    <t>Ghostly Pendant</t>
  </si>
  <si>
    <t>MH - Abandoned Workshop : Silver Chest</t>
  </si>
  <si>
    <t>Gloomstone</t>
  </si>
  <si>
    <t>MQ - Sanctuary of Solitude : Silver Chest</t>
  </si>
  <si>
    <t>Grim Token</t>
  </si>
  <si>
    <t>MH - Crematorium : Silver Chest</t>
  </si>
  <si>
    <t>Haunting Relic</t>
  </si>
  <si>
    <t>HoM - Steps of Misdirection : Silver Chest</t>
  </si>
  <si>
    <t>Hollow Bone</t>
  </si>
  <si>
    <t>CT - West Daedalus Crossing : Silver Chest</t>
  </si>
  <si>
    <t>Infernal Medallion</t>
  </si>
  <si>
    <t>ND - Reliquary : Silver Chest</t>
  </si>
  <si>
    <t>Lich's Mark</t>
  </si>
  <si>
    <t>L - Lower Rhetoric Shelves : Silver Chest</t>
  </si>
  <si>
    <t>Midnight Tear</t>
  </si>
  <si>
    <t>L - Upper Rhetoric Shelves : Silver Chest</t>
  </si>
  <si>
    <t>Moonlit Shard</t>
  </si>
  <si>
    <t>CT - Path of the Builder : Silver Chest</t>
  </si>
  <si>
    <t>Mourning Bead</t>
  </si>
  <si>
    <t>CoP - Path of the Abyss : Silver Chest</t>
  </si>
  <si>
    <t>Necro Charm</t>
  </si>
  <si>
    <t>CoP - Jaws of Limbo : Silver Chest</t>
  </si>
  <si>
    <t>Nightshade</t>
  </si>
  <si>
    <t>HIC - Pillaged Tombs : Silver Chest</t>
  </si>
  <si>
    <t>Obsidian Fang</t>
  </si>
  <si>
    <t>PS - Guard Level : Silver Chest</t>
  </si>
  <si>
    <t>Pale Thorn</t>
  </si>
  <si>
    <t>HIC - Hot Springs : Silver Chest</t>
  </si>
  <si>
    <t>Phantom Ring</t>
  </si>
  <si>
    <t>CT - Western Ascent : Silver Chest</t>
  </si>
  <si>
    <t>Raven's Feather</t>
  </si>
  <si>
    <t>HIC - Mass Grave : Silver Chest</t>
  </si>
  <si>
    <t>Revenant's Shard</t>
  </si>
  <si>
    <t>L - Curiosity Cabinet : Silver Chest</t>
  </si>
  <si>
    <t>Sand Charm</t>
  </si>
  <si>
    <t>HoM - Servant's Refectory : Silver Chest</t>
  </si>
  <si>
    <t>Shadow Veil</t>
  </si>
  <si>
    <t>PS - Burned District : Silver Chest</t>
  </si>
  <si>
    <t>Sinister Rune</t>
  </si>
  <si>
    <t>CT - Eastern Access Shaft : Silver Chest</t>
  </si>
  <si>
    <t>Soul Fragment</t>
  </si>
  <si>
    <t>ND - Nave : Silver Chest</t>
  </si>
  <si>
    <t>Specter's Whisper</t>
  </si>
  <si>
    <t>CoP - Catacomb Entrance : Silver Chest</t>
  </si>
  <si>
    <t>Twilight Gem</t>
  </si>
  <si>
    <t>PS - Central Sewer Drain : Silver Chest</t>
  </si>
  <si>
    <t>Vampire Fang</t>
  </si>
  <si>
    <t>HIC - Fountain of the Innocents : Silver Chest</t>
  </si>
  <si>
    <t>Vile Trinket</t>
  </si>
  <si>
    <t>CT - East Daedalus Crossing : Silver Chest</t>
  </si>
  <si>
    <t>Witch's Brew</t>
  </si>
  <si>
    <t>ND - Transept : Silver Chest</t>
  </si>
  <si>
    <t>Witch's Knot</t>
  </si>
  <si>
    <t>MH - West Hall : Silver Chest</t>
  </si>
  <si>
    <t>Wraith's Tear</t>
  </si>
  <si>
    <t>L - Study Room : Silver Chest</t>
  </si>
  <si>
    <t>Family's Grave</t>
  </si>
  <si>
    <t>PS - Bank of the River Seine : Starting Relic (DLC)</t>
  </si>
  <si>
    <t>DLC item – not obtainable without the DLC</t>
  </si>
  <si>
    <t>Whip</t>
  </si>
  <si>
    <t>progression</t>
  </si>
  <si>
    <t>CoP - Hall of the Fallen Angels : Gold Chest</t>
  </si>
  <si>
    <t>Hall of Mirrors seals (OR Double Jump OR Aerial Rush)</t>
  </si>
  <si>
    <t>Thorn Whip</t>
  </si>
  <si>
    <t>L - Fine Arts Shelves : Gold Chest</t>
  </si>
  <si>
    <t>Morning Star</t>
  </si>
  <si>
    <t>MH - Inner Courtyard : Gold Chest</t>
  </si>
  <si>
    <t>Vampire Killer</t>
  </si>
  <si>
    <t>ND - Deacon's Quarter : Trevor Belmont</t>
  </si>
  <si>
    <t>Longsword</t>
  </si>
  <si>
    <t>OHSword</t>
  </si>
  <si>
    <t>PS - Bank of the River Seine : Starting Weapon</t>
  </si>
  <si>
    <t>Starting weapon</t>
  </si>
  <si>
    <t>Bastard Sword</t>
  </si>
  <si>
    <t>PS - Justice District Sewers : Gold Chest</t>
  </si>
  <si>
    <t>Joyeuse</t>
  </si>
  <si>
    <t>ND - Path of the Penitent : Gold Chest</t>
  </si>
  <si>
    <t>Valmanway</t>
  </si>
  <si>
    <t>PS - Palace of Justice : Saint Louis</t>
  </si>
  <si>
    <t>Burnt Sword of Fierbois</t>
  </si>
  <si>
    <t>THSword</t>
  </si>
  <si>
    <t>PS - Roof of the Tower : Jeanne d'Arc Defeated</t>
  </si>
  <si>
    <t>Claymore</t>
  </si>
  <si>
    <t>CT - The Way of the Fist : Gold Chest</t>
  </si>
  <si>
    <t>Durandal</t>
  </si>
  <si>
    <t>L - Lisa's Laboratory : Gold Chest</t>
  </si>
  <si>
    <t>Excalibur</t>
  </si>
  <si>
    <t>ND - Chapel : Arthur Defeated</t>
  </si>
  <si>
    <t>Pair of Longswords</t>
  </si>
  <si>
    <t>Dual Blades</t>
  </si>
  <si>
    <t>CoP - Crossroads of the Dead : Gold Chest</t>
  </si>
  <si>
    <t>Rapiers</t>
  </si>
  <si>
    <t>MH - Watch Tower : Gold Chest</t>
  </si>
  <si>
    <t>Almace and Hauteclaire</t>
  </si>
  <si>
    <t>HIC - Flooded Crypt : Gold Chest</t>
  </si>
  <si>
    <t>War and Famine</t>
  </si>
  <si>
    <t>ND - Great Organ Room : Unique Reward</t>
  </si>
  <si>
    <t>Lance</t>
  </si>
  <si>
    <t>Spear</t>
  </si>
  <si>
    <t>HIC - Fountain of the Innocents : Gold Chest</t>
  </si>
  <si>
    <t>Halberd</t>
  </si>
  <si>
    <t>CT - Mechanic's Ascent : Gold Chest</t>
  </si>
  <si>
    <t>Gungnir</t>
  </si>
  <si>
    <t>CoP - Collapsed Path of Orpheus : Gold Chest</t>
  </si>
  <si>
    <t>Chauve-Souris</t>
  </si>
  <si>
    <t>CT - Heart of the Clock : Isaac Defeated</t>
  </si>
  <si>
    <t>Cestus</t>
  </si>
  <si>
    <t>Fists</t>
  </si>
  <si>
    <t>PS - Sewer Reservoir : Gold Chest</t>
  </si>
  <si>
    <t>Jewel Knuckles</t>
  </si>
  <si>
    <t>MH - Old Gallery : Gold Chest</t>
  </si>
  <si>
    <t>Fists of Talos</t>
  </si>
  <si>
    <t>CT - Builder's Bureau : Unique Reward</t>
  </si>
  <si>
    <t>Bernhard's Wrath</t>
  </si>
  <si>
    <t>HoM - Level Deviled : Unique Reward</t>
  </si>
  <si>
    <t>Rusted Harpe and Aegis</t>
  </si>
  <si>
    <t>Sword and Shield</t>
  </si>
  <si>
    <t>HIC - Ossuary of the Innocents : Medusa Defeated</t>
  </si>
  <si>
    <t>Fleuret and Tower Shield</t>
  </si>
  <si>
    <t>L - Condemned Shelves : Gold Chest</t>
  </si>
  <si>
    <t>Arondight and Lancelot's Shield</t>
  </si>
  <si>
    <t>ND - Tower Entrance : Gold Chest</t>
  </si>
  <si>
    <t>Alucard's Sword and Shield</t>
  </si>
  <si>
    <t>MH - Alucard's Tower : Unique Reward</t>
  </si>
  <si>
    <t>The Cursed Clue</t>
  </si>
  <si>
    <t>filler</t>
  </si>
  <si>
    <t>PS - Bank of the River Seine : Starting Clue</t>
  </si>
  <si>
    <t>Starting clue</t>
  </si>
  <si>
    <t>The Self Clue</t>
  </si>
  <si>
    <t>ND - Gallery of the Four Virtues : Stele</t>
  </si>
  <si>
    <t>The Fallen First Clue</t>
  </si>
  <si>
    <t>PS - Path of the Rat : Ghost</t>
  </si>
  <si>
    <t>The Fallen Second Clue</t>
  </si>
  <si>
    <t>PS - Ruined Market : Ghost</t>
  </si>
  <si>
    <t>The Warrior First Clue</t>
  </si>
  <si>
    <t>PS - Burned District : Ghost</t>
  </si>
  <si>
    <t>The Warrior Second Clue</t>
  </si>
  <si>
    <t>PS - Upper Tower : Ghost</t>
  </si>
  <si>
    <t>The Prophetess First Clue</t>
  </si>
  <si>
    <t>HIC - Fountain of the Innocents : Ghost</t>
  </si>
  <si>
    <t>The Prophetess Second Clue</t>
  </si>
  <si>
    <t>HIC - Pauper's Grave : Ghost</t>
  </si>
  <si>
    <t>The Prophetess Third Clue</t>
  </si>
  <si>
    <t>HIC - Sepulcher of the Knight : Ghost</t>
  </si>
  <si>
    <t>The Prophetess Fourth Clue</t>
  </si>
  <si>
    <t>HIC - Roman Baths : Ghost</t>
  </si>
  <si>
    <t>The Builder First Clue</t>
  </si>
  <si>
    <t>MH - Abandoned Workshop : Spy Statue</t>
  </si>
  <si>
    <t>The Builder Second Clue</t>
  </si>
  <si>
    <t>CT - Daedalus Crossing : Note</t>
  </si>
  <si>
    <t>The Artist First Clue</t>
  </si>
  <si>
    <t>MH - Old Gallery : Spy Statue</t>
  </si>
  <si>
    <t>The Artist Second Clue</t>
  </si>
  <si>
    <t>MH - Elevated Tower : Spy Statue</t>
  </si>
  <si>
    <t>The Artist Third Clue</t>
  </si>
  <si>
    <t>MH - Gallery of Eternal Night : Painting</t>
  </si>
  <si>
    <t>The Artist Fourth Clue</t>
  </si>
  <si>
    <t>MH - Brauner's Atelier : Note 1</t>
  </si>
  <si>
    <t>The Occultist First Clue</t>
  </si>
  <si>
    <t>L - Natural Philosophy Shelves : Note</t>
  </si>
  <si>
    <t>The Occultist Second Clue</t>
  </si>
  <si>
    <t>MH - Brauner's Atelier : Note 2</t>
  </si>
  <si>
    <t>The Occultist Third Clue</t>
  </si>
  <si>
    <t>L - Astronomer's Office : Note</t>
  </si>
  <si>
    <t>The Occultist Fourth Clue</t>
  </si>
  <si>
    <t>L - Drawing Room : Note</t>
  </si>
  <si>
    <t>The Occultist Fifth Clue</t>
  </si>
  <si>
    <t>L - Observation Tower : Spy Statue</t>
  </si>
  <si>
    <t>The Shadow First Clue</t>
  </si>
  <si>
    <t>CoP - Charnel Galleries : Ghost</t>
  </si>
  <si>
    <t>The Shadow Second Clue</t>
  </si>
  <si>
    <t>ND - La Flèche : Note</t>
  </si>
  <si>
    <t>The Shadow Third Clue</t>
  </si>
  <si>
    <t>ND - Collapsed Crypt : Ghost</t>
  </si>
  <si>
    <t>The Shadow Fourth Clue</t>
  </si>
  <si>
    <t>ND - Great Organ Room : Note</t>
  </si>
  <si>
    <t>The Shadow Fifth Clue</t>
  </si>
  <si>
    <t>ND - Transept : Note</t>
  </si>
  <si>
    <t>The Shadow Sixth Clue</t>
  </si>
  <si>
    <t>ND - Sealed Scriptorium : Note</t>
  </si>
  <si>
    <t>The Miser First Clue</t>
  </si>
  <si>
    <t>PS - Bishop's Office : Note 1</t>
  </si>
  <si>
    <t>The Miser Second Clue</t>
  </si>
  <si>
    <t>PS - Bishop's Office : Note 2</t>
  </si>
  <si>
    <t>The Miser Third Clue</t>
  </si>
  <si>
    <t>PS - Bishop's Office : Note 3</t>
  </si>
  <si>
    <t>The Miser Fourth Clue</t>
  </si>
  <si>
    <t>CoP - Circle of Greed : Note</t>
  </si>
  <si>
    <t>The Whisperer Clue</t>
  </si>
  <si>
    <t>PS - Hospital : Ghost</t>
  </si>
  <si>
    <t>The Zealot Clue</t>
  </si>
  <si>
    <t>CT - Mechanic's Ascent : Spy Statue</t>
  </si>
  <si>
    <t>The Temptress Clue</t>
  </si>
  <si>
    <t>HoM - Glass Gallery : Spy Statue</t>
  </si>
  <si>
    <t>The Brittle King Clue</t>
  </si>
  <si>
    <t>ND - Chapel : Stele</t>
  </si>
  <si>
    <t>The Judge Clue</t>
  </si>
  <si>
    <t>PS - Palace of Justice : Stele</t>
  </si>
  <si>
    <t>The Sage First Clue</t>
  </si>
  <si>
    <t>HoM - Heart of the Maze : Note</t>
  </si>
  <si>
    <t>The Sage Second Clue</t>
  </si>
  <si>
    <t>HoM - Looping Hallways : Spy Statue</t>
  </si>
  <si>
    <t>The Sage Third Clue</t>
  </si>
  <si>
    <t>CT - Builder's Bureau : Note</t>
  </si>
  <si>
    <t>The Sage Fourth Clue</t>
  </si>
  <si>
    <t>HoM - Steps of Misdirection : Spy Statue</t>
  </si>
  <si>
    <t>Tarot : The Cursed</t>
  </si>
  <si>
    <t>PS - Bank of the River Seine : Starting Tarot Card</t>
  </si>
  <si>
    <t>Starting Tarot card | Spell: Cursed Flame</t>
  </si>
  <si>
    <t>Tarot : The Self</t>
  </si>
  <si>
    <t>ND - Gallery of the Four Virtues : Doppelganger Absorbed</t>
  </si>
  <si>
    <t>True Ending (Absolution)</t>
  </si>
  <si>
    <t>RageIncarnation (Absolution arcana)</t>
  </si>
  <si>
    <t>5th step of the progressive "Virtues" | Spell: Absolution | Absorbing it turns Cursed Flame into Absolution</t>
  </si>
  <si>
    <t>Tarot : The Fallen</t>
  </si>
  <si>
    <t>PS - Gate of the Catacombs : Leon Belmont Absorbed - Tarot</t>
  </si>
  <si>
    <t>Tarot : The Warrior</t>
  </si>
  <si>
    <t>PS - Roof of the Tower : Jeanne d'Arc Absorbed - Tarot</t>
  </si>
  <si>
    <t>Virtue of Courage (Infernal Pyre – pairing assumed)</t>
  </si>
  <si>
    <t>Spell: Infernal Pyre (pairing assumed)</t>
  </si>
  <si>
    <t>Tarot : The Prophetess</t>
  </si>
  <si>
    <t>HIC - Ossuary of the Innocents : Medusa Absorbed - Tarot</t>
  </si>
  <si>
    <t>Called « The Enchantress » (Medusa) in the other xlsx</t>
  </si>
  <si>
    <t>Tarot : The Builder</t>
  </si>
  <si>
    <t>CT - Throne of the Builder : Talos Absorbed - Tarot</t>
  </si>
  <si>
    <t>Arthur fight: Fist of Talos equipped (Excalibur + Tarot : The Brittle King)</t>
  </si>
  <si>
    <t>Spell: Fist of Talos</t>
  </si>
  <si>
    <t>Tarot : The Artist</t>
  </si>
  <si>
    <t>MH - Brauner's Atelier : Brauner Absorbed</t>
  </si>
  <si>
    <t>Notre-Dame entrance (Masterpiece, with Brauner's Paintbrush)</t>
  </si>
  <si>
    <t>Spell: Masterpiece</t>
  </si>
  <si>
    <t>Tarot : The Occultist</t>
  </si>
  <si>
    <t>L - Observatory : Carmilla Absorbed - Tarot</t>
  </si>
  <si>
    <t>Tarot : The Shadow</t>
  </si>
  <si>
    <t>ND - Choir : Death Almost Absorbed - Tarot</t>
  </si>
  <si>
    <t>Clock Tower (Upper): Soul Harvest disarms the Death Trap → Neutral Ending AND True Ending</t>
  </si>
  <si>
    <t>Spell: Soul Harvest</t>
  </si>
  <si>
    <t>Tarot : The Miser</t>
  </si>
  <si>
    <t>CoP - Mammon's Lair : Mammon Absorbed</t>
  </si>
  <si>
    <t>Spell: Wheel of Chaos</t>
  </si>
  <si>
    <t>Tarot : The Whisperer</t>
  </si>
  <si>
    <t>Ferryman's Wharf : Ferryman's Gift Absorbed</t>
  </si>
  <si>
    <t>Virtue of Temperance (Freezing Path – pairing assumed)</t>
  </si>
  <si>
    <t>Spell: Freezing Path (pairing assumed)</t>
  </si>
  <si>
    <t>Tarot : The Zealot</t>
  </si>
  <si>
    <t>CT - Heart of the Clock : Isaac Absorbed</t>
  </si>
  <si>
    <t>Isaac's card</t>
  </si>
  <si>
    <t>Tarot : The Temptress</t>
  </si>
  <si>
    <t>HoM - Belmont Manor : Succubus Absorbed</t>
  </si>
  <si>
    <t>LifeDrain (arcana)</t>
  </si>
  <si>
    <t>Spell: Life Drain | Succubus (Agnes)</t>
  </si>
  <si>
    <t>Tarot : The Brittle King</t>
  </si>
  <si>
    <t>ND - Chapel : Arthur Absorbed</t>
  </si>
  <si>
    <t>Arthur's card</t>
  </si>
  <si>
    <t>Tarot : The Judge</t>
  </si>
  <si>
    <t>PS - Palace of Justice : Saint Louis Absorbed</t>
  </si>
  <si>
    <t>Virtue of Justice (Chains of Justice)</t>
  </si>
  <si>
    <t>Spell: Chains of Justice</t>
  </si>
  <si>
    <t>Tarot : The Sage</t>
  </si>
  <si>
    <t>HIC - Mausoleum of the Queens : Aliénor Absorbed</t>
  </si>
  <si>
    <t>Virtue of Prudence (Mirror Walk)</t>
  </si>
  <si>
    <t>Spell: Mirror Walk</t>
  </si>
  <si>
    <t>Brave Heart Fragment</t>
  </si>
  <si>
    <t>(See locations BHF)</t>
  </si>
  <si>
    <t>Saint Louis interaction: &gt;= 24 fragments, HP + MP combined</t>
  </si>
  <si>
    <t>Start 100 HP + 100 MP; one full heart (4 fragments) = +20 HP or MP; levels only give ATK/DEF → 320 = 6 full hearts</t>
  </si>
  <si>
    <t>Wise Heart Fragment</t>
  </si>
  <si>
    <t>(See locations WHF)</t>
  </si>
  <si>
    <t>ATK Book</t>
  </si>
  <si>
    <t>(See locations ATKB)</t>
  </si>
  <si>
    <t>DEF Book</t>
  </si>
  <si>
    <t>(See locations DEFB)</t>
  </si>
  <si>
    <t>WOM Cursed Flame</t>
  </si>
  <si>
    <t>Work of Mercy of Tarot : The Cursed</t>
  </si>
  <si>
    <t>WOM Absolution</t>
  </si>
  <si>
    <t>Work of Mercy of Tarot : The Self</t>
  </si>
  <si>
    <t>WOM Holy Cross</t>
  </si>
  <si>
    <t>WOM Infernal Pyre</t>
  </si>
  <si>
    <t>Work of Mercy of Tarot : The Warrior</t>
  </si>
  <si>
    <t>WOM Petrifying Gaze</t>
  </si>
  <si>
    <t>WOM Fist of Talos</t>
  </si>
  <si>
    <t>Work of Mercy of Tarot : The Builder</t>
  </si>
  <si>
    <t>WOM Masterpiece</t>
  </si>
  <si>
    <t>Work of Mercy of Tarot : The Artist</t>
  </si>
  <si>
    <t>WOM Blood Spikes</t>
  </si>
  <si>
    <t>WOM Soul Harvest</t>
  </si>
  <si>
    <t>Work of Mercy of Tarot : The Shadow</t>
  </si>
  <si>
    <t>WOM Wheel of Chaos</t>
  </si>
  <si>
    <t>Work of Mercy of Tarot : The Miser</t>
  </si>
  <si>
    <t>WOM Freezing Path</t>
  </si>
  <si>
    <t>Work of Mercy of Tarot : The Whisperer</t>
  </si>
  <si>
    <t>WOM Chronomantic Dive</t>
  </si>
  <si>
    <t>WOM Life Drain</t>
  </si>
  <si>
    <t>Work of Mercy of Tarot : The Temptress</t>
  </si>
  <si>
    <t>WOM Stained-Glass Shield</t>
  </si>
  <si>
    <t>WOM Chains of Justice</t>
  </si>
  <si>
    <t>Work of Mercy of Tarot : The Judge</t>
  </si>
  <si>
    <t>WOM Mirror Walk</t>
  </si>
  <si>
    <t>Work of Mercy of Tarot : The Sage</t>
  </si>
  <si>
    <t>The Fallen's Key</t>
  </si>
  <si>
    <t>PS - Gate of the Catacombs : Leon Belmont Absorbed - Key</t>
  </si>
  <si>
    <t>Catacombs of Paris Entrance (1/3)</t>
  </si>
  <si>
    <t>The Warrior's Key</t>
  </si>
  <si>
    <t>PS - Roof of the Tower : Jeanne d'Arc Absorbed - Key</t>
  </si>
  <si>
    <t>The Prophetess's Key</t>
  </si>
  <si>
    <t>HIC - Ossuary of the Innocents : Medusa Absorbed - Key</t>
  </si>
  <si>
    <t>Brauner's Paintbrush</t>
  </si>
  <si>
    <t>L - Observatory : Carmilla Defeated</t>
  </si>
  <si>
    <t>Notre-Dame entrance (with Tarot : The Artist)</t>
  </si>
  <si>
    <t>Ferryman's Obol</t>
  </si>
  <si>
    <t>CoP - Mammon's Lair : Mammon Defeated</t>
  </si>
  <si>
    <t>The Ferryman → Tarot : The Whisperer → Virtue of Temperance</t>
  </si>
  <si>
    <t>Arcane Whip</t>
  </si>
  <si>
    <t>PS - Gate of the Catacombs : Leon Belmont Absorbed - Skill</t>
  </si>
  <si>
    <t>Paris Streets (OR Double Jump), Holy Innocents' Cemetery, Catacombs, Main Hall, Notre-Dame, Clock Tower (Upper), Master's Quarter (Bad Ending) + many locations</t>
  </si>
  <si>
    <t>Holy Light</t>
  </si>
  <si>
    <t>PS - Roof of the Tower : Jeanne d'Arc Absorbed - Skill</t>
  </si>
  <si>
    <t>Catacombs, Notre-Dame, Master's Quarter (Bad Ending) + many locations</t>
  </si>
  <si>
    <t>Aerial Rush</t>
  </si>
  <si>
    <t>L - Observatory : Carmilla Absorbed - Skill</t>
  </si>
  <si>
    <t>Notre-Dame, Clock Tower (Upper), Hall of Mirrors seals (OR Double Jump OR a whip) + many locations</t>
  </si>
  <si>
    <t>Smash</t>
  </si>
  <si>
    <t>CT - Throne of the Builder : Talos Absorbed - Skill</t>
  </si>
  <si>
    <t>Notre-Dame, Clock Tower (Upper) + many locations</t>
  </si>
  <si>
    <t>Double Jump</t>
  </si>
  <si>
    <t>ND - Choir : Death Almost Absorbed - Skill</t>
  </si>
  <si>
    <t>Paris Streets (OR Arcane Whip), Clock Tower (Upper), Hall of Mirrors seals (OR Aerial Rush OR a whip) + many locations</t>
  </si>
  <si>
    <t>Virtue of Courage</t>
  </si>
  <si>
    <t>ND - Courage of Gabriel : Bell Rang</t>
  </si>
  <si>
    <t>Doppelganger Boss Fight (1/4)</t>
  </si>
  <si>
    <t>Virtue of Temperance</t>
  </si>
  <si>
    <t>ND - Temperance of Mary : Bell Rang</t>
  </si>
  <si>
    <t>Virtue of Justice</t>
  </si>
  <si>
    <t>ND - Justice of Emmanuel : Bell Rang</t>
  </si>
  <si>
    <t>Virtue of Prudence</t>
  </si>
  <si>
    <t>ND - Prudence of Denis : Bell Rang</t>
  </si>
  <si>
    <t>The Shadow Confronted</t>
  </si>
  <si>
    <t>CoP - Altar of Bones : Death Defeated</t>
  </si>
  <si>
    <t>Main Hall (with Arcane Whip)</t>
  </si>
  <si>
    <t>DeathCatacombs_Defeated_ID (guid 769b38ad62fa14249b54a74ef889998c)</t>
  </si>
  <si>
    <t>Progression flag set by the first fight against Death; opens the east Streets path to the castle. Option « Shuffle The Shadow's Flag » (on by default): off = locked on its vanilla location</t>
  </si>
  <si>
    <t>Hall of Mirrors</t>
  </si>
  <si>
    <t>Oozing Eye</t>
  </si>
  <si>
    <t>CoP - Circle of Greed : Mammon Altar</t>
  </si>
  <si>
    <t>Mammon's Lair (1/3, equipped)</t>
  </si>
  <si>
    <t>Mammon altar pickup; all three eyes must be equipped to open Mammon's Lair. Relic or key item in-game? to confirm</t>
  </si>
  <si>
    <t>Trembling Eye</t>
  </si>
  <si>
    <t>HIC - Pillaged Tombs : Mammon Altar</t>
  </si>
  <si>
    <t>PickableItem_MammonAltar_Homing</t>
  </si>
  <si>
    <t>Mammon altar pickup (shared save id across altars: match by vanilla item)</t>
  </si>
  <si>
    <t>Thrilling Eye</t>
  </si>
  <si>
    <t>PS - Hospital : Mammon Altar</t>
  </si>
  <si>
    <t>PickableItem_MammonAltar_Mines</t>
  </si>
  <si>
    <t>Mammon altar pickup (shared save id 125be7fb-… across altars: match by vanilla item)</t>
  </si>
  <si>
    <t>Experience Statue 100</t>
  </si>
  <si>
    <t>(See locations Exp S - PS)</t>
  </si>
  <si>
    <t>Experience Statue 150</t>
  </si>
  <si>
    <t>(See locations Exp S - HIC)</t>
  </si>
  <si>
    <t>Experience Statue 200</t>
  </si>
  <si>
    <t>(See locations Exp S - CoP)</t>
  </si>
  <si>
    <t>Experience Statue 250</t>
  </si>
  <si>
    <t>(See locations Exp S - MH)</t>
  </si>
  <si>
    <t>Experience Statue 300</t>
  </si>
  <si>
    <t>(See locations Exp S - ND AND L AND HoM)</t>
  </si>
  <si>
    <t>Experience Statue 350</t>
  </si>
  <si>
    <t>(See locations Exp S - CT)</t>
  </si>
  <si>
    <t>Progressive Virtue</t>
  </si>
  <si>
    <t>Doppelganger (4) / True Ending (5)</t>
  </si>
  <si>
    <t>Only with « Progressive Virtues »: replaces the 4 Virtues + Tarot : The Self (5 copies)</t>
  </si>
  <si>
    <t>Progressive Whip</t>
  </si>
  <si>
    <t>Only with « Progressive Weapons »: replaces the 4 weapons of the group</t>
  </si>
  <si>
    <t>Progressive OHSword</t>
  </si>
  <si>
    <t>Progressive THSword</t>
  </si>
  <si>
    <t>Progressive Dual Blades</t>
  </si>
  <si>
    <t>Progressive Spear</t>
  </si>
  <si>
    <t>Progressive Fists</t>
  </si>
  <si>
    <t>Progressive Sword and Shield</t>
  </si>
  <si>
    <t>Burn Trap</t>
  </si>
  <si>
    <t>Trap</t>
  </si>
  <si>
    <t>trap</t>
  </si>
  <si>
    <t>Generated in place of filler (Trap Chance)</t>
  </si>
  <si>
    <t>Bleed Trap</t>
  </si>
  <si>
    <t>Petrify Trap</t>
  </si>
  <si>
    <t>Turned to Gold Trap</t>
  </si>
  <si>
    <t>Stun Trap</t>
  </si>
  <si>
    <t>Plague Trap</t>
  </si>
  <si>
    <t>One location = one check. The vanilla category tells which locations stay locked to their vanilla item when that category is not randomized.</t>
  </si>
  <si>
    <t>Location name</t>
  </si>
  <si>
    <t>Check type ▼</t>
  </si>
  <si>
    <t>Vanilla category ▼</t>
  </si>
  <si>
    <t>Area</t>
  </si>
  <si>
    <t>Sub-area</t>
  </si>
  <si>
    <t>Vanilla item</t>
  </si>
  <si>
    <t>Access prerequisites</t>
  </si>
  <si>
    <t>Missable? ▼</t>
  </si>
  <si>
    <t>Logic region</t>
  </si>
  <si>
    <t>Silver Chest</t>
  </si>
  <si>
    <t>Holy Innocents' Cemetery</t>
  </si>
  <si>
    <t>Cemetery Entrance</t>
  </si>
  <si>
    <t>Arcane Whip AND Holy Light</t>
  </si>
  <si>
    <t>Other xlsx #26</t>
  </si>
  <si>
    <t>Main Hall</t>
  </si>
  <si>
    <t>Servant's Quarters</t>
  </si>
  <si>
    <t>Arcane Whip AND Smash</t>
  </si>
  <si>
    <t>Other xlsx #80</t>
  </si>
  <si>
    <t>Notre-Dame</t>
  </si>
  <si>
    <t>Chapel of Patience</t>
  </si>
  <si>
    <t>Nothing extra</t>
  </si>
  <si>
    <t>Other xlsx #59</t>
  </si>
  <si>
    <t>Abandoned Staircase</t>
  </si>
  <si>
    <t>Aerial Rush AND Arcane Whip AND Double Jump</t>
  </si>
  <si>
    <t>Other xlsx #82</t>
  </si>
  <si>
    <t>Archives</t>
  </si>
  <si>
    <t>Arcane Whip AND Double Jump</t>
  </si>
  <si>
    <t>Other xlsx #81</t>
  </si>
  <si>
    <t>Paris Streets</t>
  </si>
  <si>
    <t>Seer's Hovel</t>
  </si>
  <si>
    <t>Other xlsx #10</t>
  </si>
  <si>
    <t>Dead-end Tower</t>
  </si>
  <si>
    <t>Other xlsx #133</t>
  </si>
  <si>
    <t>Wine Cellar</t>
  </si>
  <si>
    <t>Other xlsx #86</t>
  </si>
  <si>
    <t>Street of the Tomb Masons</t>
  </si>
  <si>
    <t>Delived Level</t>
  </si>
  <si>
    <t>Other xlsx #132</t>
  </si>
  <si>
    <t>Catacombs of Paris</t>
  </si>
  <si>
    <t>Throat of Hell</t>
  </si>
  <si>
    <t>Arcane Whip AND Holy Light AND Smash</t>
  </si>
  <si>
    <t>Other xlsx #40</t>
  </si>
  <si>
    <t>East Gallery</t>
  </si>
  <si>
    <t>Other xlsx #63</t>
  </si>
  <si>
    <t>Antechamber of Sin</t>
  </si>
  <si>
    <t>Smash AND Aerial Rush AND Arcane Whip AND Double Jump AND Holy Light AND Smash</t>
  </si>
  <si>
    <t>Other xlsx #46</t>
  </si>
  <si>
    <t>Abandoned Workshop</t>
  </si>
  <si>
    <t>Other xlsx #85</t>
  </si>
  <si>
    <t>Master's Quarter</t>
  </si>
  <si>
    <t>Sanctuary of Solitude</t>
  </si>
  <si>
    <t>Other xlsx #145</t>
  </si>
  <si>
    <t>Crematorium</t>
  </si>
  <si>
    <t>Aerial Rush AND Arcane Whip</t>
  </si>
  <si>
    <t>Other xlsx #79</t>
  </si>
  <si>
    <t>Steps of Misdirection</t>
  </si>
  <si>
    <t>Other xlsx #135</t>
  </si>
  <si>
    <t>Clock Tower</t>
  </si>
  <si>
    <t>Reliquary</t>
  </si>
  <si>
    <t>Aerial Rush AND Arcane Whip AND Double Jump AND Smash</t>
  </si>
  <si>
    <t>Other xlsx #64</t>
  </si>
  <si>
    <t>Library</t>
  </si>
  <si>
    <t>Lower Rhetoric Shelves</t>
  </si>
  <si>
    <t>Other xlsx: « Rhetoric Shelves Chest 1 / 2 » (#98, #103), both Nothing extra</t>
  </si>
  <si>
    <t>Upper Rhetoric Shelves</t>
  </si>
  <si>
    <t>Path of the Builder</t>
  </si>
  <si>
    <t>Other xlsx #115</t>
  </si>
  <si>
    <t>Path of the Abyss</t>
  </si>
  <si>
    <t>Other xlsx #44</t>
  </si>
  <si>
    <t>Jaws of Limbo</t>
  </si>
  <si>
    <t>Other xlsx #42</t>
  </si>
  <si>
    <t>Pillaged Tombs</t>
  </si>
  <si>
    <t>Other xlsx #29</t>
  </si>
  <si>
    <t>Guard Level</t>
  </si>
  <si>
    <t>Other xlsx #8</t>
  </si>
  <si>
    <t>Hot Springs</t>
  </si>
  <si>
    <t>(Arcane Whip AND Double Jump AND Holy Light) OR (Aerial Rush AND Arcane Whip AND Holy Light)</t>
  </si>
  <si>
    <t>Other xlsx #28</t>
  </si>
  <si>
    <t>Western Ascent</t>
  </si>
  <si>
    <t>Other xlsx #114</t>
  </si>
  <si>
    <t>Mass Grave</t>
  </si>
  <si>
    <t>Other xlsx #24</t>
  </si>
  <si>
    <t>Curiosity Cabinet</t>
  </si>
  <si>
    <t>Other xlsx #99</t>
  </si>
  <si>
    <t>Servant's Refectory</t>
  </si>
  <si>
    <t>Other xlsx #134</t>
  </si>
  <si>
    <t>Burned District</t>
  </si>
  <si>
    <t>Other xlsx #5</t>
  </si>
  <si>
    <t>Eastern Access Shaft</t>
  </si>
  <si>
    <t>Other xlsx #116</t>
  </si>
  <si>
    <t>Nave</t>
  </si>
  <si>
    <t>Other xlsx #60</t>
  </si>
  <si>
    <t>Catacomb Entrance</t>
  </si>
  <si>
    <t>Other xlsx #43</t>
  </si>
  <si>
    <t>Central Sewer Drain</t>
  </si>
  <si>
    <t>Double Jump OR Arcane Whip</t>
  </si>
  <si>
    <t>Other xlsx #6</t>
  </si>
  <si>
    <t>Fountain of the Innocents</t>
  </si>
  <si>
    <t>Other xlsx #23</t>
  </si>
  <si>
    <t>East Daedalus Crossing</t>
  </si>
  <si>
    <t>Transept</t>
  </si>
  <si>
    <t>Aerial Rush AND Arcane Whip AND Double Jump AND Holy Light AND Smash</t>
  </si>
  <si>
    <t>Other xlsx #61</t>
  </si>
  <si>
    <t>West Hall</t>
  </si>
  <si>
    <t>Other xlsx #84</t>
  </si>
  <si>
    <t>Study Room</t>
  </si>
  <si>
    <t>Other xlsx #101</t>
  </si>
  <si>
    <t>Gold Chest</t>
  </si>
  <si>
    <t>Hall of the Fallen Angels</t>
  </si>
  <si>
    <t>Other xlsx #41</t>
  </si>
  <si>
    <t>Fine Arts Shelves</t>
  </si>
  <si>
    <t>Other xlsx #102</t>
  </si>
  <si>
    <t>Inner Courtyard</t>
  </si>
  <si>
    <t>Other xlsx #87</t>
  </si>
  <si>
    <t>Deacon's Quarter</t>
  </si>
  <si>
    <t>Not in the other xlsx</t>
  </si>
  <si>
    <t>Justice District Sewers</t>
  </si>
  <si>
    <t>Other xlsx #7</t>
  </si>
  <si>
    <t>Path of the Penitent</t>
  </si>
  <si>
    <t>Other xlsx #65</t>
  </si>
  <si>
    <t>Scripted Event</t>
  </si>
  <si>
    <t>Palace of Justice</t>
  </si>
  <si>
    <t>24 Heart Fragments (Brave Heart Fragment + Wise Heart Fragment combined)</t>
  </si>
  <si>
    <t>Same Saint Louis interaction as Tarot : The Judge? (other xlsx #354 has a single reward)</t>
  </si>
  <si>
    <t>Interaction (Weapon)</t>
  </si>
  <si>
    <t>Roof of the Tower</t>
  </si>
  <si>
    <t>Other xlsx #20</t>
  </si>
  <si>
    <t>The Way of the Fist</t>
  </si>
  <si>
    <t>Other xlsx #120</t>
  </si>
  <si>
    <t>Lisa's Laboratory</t>
  </si>
  <si>
    <t>Other xlsx #104</t>
  </si>
  <si>
    <t>Absorption (Boss/NPC)</t>
  </si>
  <si>
    <t>Chapel</t>
  </si>
  <si>
    <t>Other xlsx #76: Arthur only fights with Fist of Talos (The Builder's spell) equipped (Charles). | Arthur only fights with Fist of Talos (Tarot : The Builder) equipped</t>
  </si>
  <si>
    <t>Crossroads of the Dead</t>
  </si>
  <si>
    <t>Other xlsx #39</t>
  </si>
  <si>
    <t>Watch Tower</t>
  </si>
  <si>
    <t>Other xlsx #83</t>
  </si>
  <si>
    <t>Flooded Crypt</t>
  </si>
  <si>
    <t>Other xlsx #27</t>
  </si>
  <si>
    <t>Unique Reward</t>
  </si>
  <si>
    <t>Great Organ Room</t>
  </si>
  <si>
    <t>Aerial Rush AND Double Jump AND Smash</t>
  </si>
  <si>
    <t>Other xlsx #75</t>
  </si>
  <si>
    <t>Mechanic's Ascent</t>
  </si>
  <si>
    <t>Other xlsx #119</t>
  </si>
  <si>
    <t>Collapsed Path of Orpheus</t>
  </si>
  <si>
    <t>Other xlsx #45</t>
  </si>
  <si>
    <t>Heart of the Clock</t>
  </si>
  <si>
    <t>Other xlsx #356: chest after Isaac (Charles's log 2026-10-24 18:28) | Other xlsx: chest after Isaac, in Clock Tower (Upper)</t>
  </si>
  <si>
    <t>Clock Tower (Upper)</t>
  </si>
  <si>
    <t>Sewer Reservoir</t>
  </si>
  <si>
    <t>Arcane Whip OR Double Jump</t>
  </si>
  <si>
    <t>Other xlsx #4</t>
  </si>
  <si>
    <t>Old Gallery</t>
  </si>
  <si>
    <t>Other xlsx #88</t>
  </si>
  <si>
    <t>Builder's Bureau</t>
  </si>
  <si>
    <t>Other xlsx #129</t>
  </si>
  <si>
    <t>Level Deviled</t>
  </si>
  <si>
    <t>Other xlsx #144</t>
  </si>
  <si>
    <t>Ossuary of the Innocents</t>
  </si>
  <si>
    <t>Other xlsx #38 | Other xlsx names the room « Serpents' Lair » (Unique Reward); also lists a « Serpents' Lair Chest » (#25) – check whether one of our two Fountain chests is in fact there</t>
  </si>
  <si>
    <t>Condemned Shelves</t>
  </si>
  <si>
    <t>Other xlsx #100</t>
  </si>
  <si>
    <t>Tower Entrance</t>
  </si>
  <si>
    <t>Other xlsx #62</t>
  </si>
  <si>
    <t>Alucard's Tower</t>
  </si>
  <si>
    <t>Other xlsx #97</t>
  </si>
  <si>
    <t>Note / Stele</t>
  </si>
  <si>
    <t>Gallery of the Four Virtues</t>
  </si>
  <si>
    <t>Same as ND - Gallery of the Four Virtues : Doppelganger Absorbed</t>
  </si>
  <si>
    <t>Other xlsx candidates: #348 « The First Card » (Same as ND - Gallery of the Four Virtues : Doppelganger Absorbed); #349 « The Prophecy » (Same as ND - Gallery of the Four Virtues : Doppelganger Absorbed)</t>
  </si>
  <si>
    <t>Ghost</t>
  </si>
  <si>
    <t>Path of the Rat</t>
  </si>
  <si>
    <t>Other xlsx candidates: #310 « A Lever for the Well » (Nothing extra); #311 « A Monster terrorizes Paris » (Nothing extra)</t>
  </si>
  <si>
    <t>Paris Streets (Start)</t>
  </si>
  <si>
    <t>Ruined Market</t>
  </si>
  <si>
    <t>Other xlsx candidates: #313 « Carpenter's Crane Sketch » (Arcane Whip); #312 « The Warrior is at the top of the Tower » (Nothing extra)</t>
  </si>
  <si>
    <t>Upper Tower</t>
  </si>
  <si>
    <t>Other xlsx candidates: #319 « Cemetary Fountain » (Nothing extra); #322 « Guardian's Gaze » (Arcane Whip); #321 « Roman Baths » (Nothing extra); #320 « The roots of the Hollow Tree » (Arcane Whip)</t>
  </si>
  <si>
    <t>Pauper's Grave</t>
  </si>
  <si>
    <t>Sepulcher of the Knight</t>
  </si>
  <si>
    <t>Roman Baths</t>
  </si>
  <si>
    <t>Statue</t>
  </si>
  <si>
    <t>No same-area match in the other xlsx (they place this card's clues in: Clock Tower)</t>
  </si>
  <si>
    <t>Daedalus Crossing</t>
  </si>
  <si>
    <t>Other xlsx candidates: #339 « Blueprints for the Clock Tower » (Nothing extra); #338 « Builder flees to the Clock Tower » (Arcane Whip)</t>
  </si>
  <si>
    <t>Other xlsx candidates: #331 « A Strange Painting of Notre-Dame » (Nothing extra); #329 « Alucard Guides » (Nothing extra); #330 « Artist hides in the Main Hall » (Nothing extra); #332 « Brauner's "Masterpiece" » (Arcane Whip AND Smash)</t>
  </si>
  <si>
    <t>Elevated Tower</t>
  </si>
  <si>
    <t>Gallery of Eternal Night</t>
  </si>
  <si>
    <t>Brauner's Atelier</t>
  </si>
  <si>
    <t>Natural Philosophy Shelves</t>
  </si>
  <si>
    <t>Other xlsx candidates: #334 « Blood Poem » (Nothing extra); #337 « Magical Brush » (Nothing extra); #336 « Organic Astrology » (Nothing extra); #335 « Star Chart » (Nothing extra)</t>
  </si>
  <si>
    <t>Other xlsx #333 | Clue title: « Carmilla in the Library »</t>
  </si>
  <si>
    <t>Astronomer's Office</t>
  </si>
  <si>
    <t>Drawing Room</t>
  </si>
  <si>
    <t>Observation Tower</t>
  </si>
  <si>
    <t>Charnel Galleries</t>
  </si>
  <si>
    <t>Other xlsx #323 | Clue title: « Death Mark »</t>
  </si>
  <si>
    <t>La Flèche</t>
  </si>
  <si>
    <t>Other xlsx candidates: #324 « Melody Sheet for the Concerto of Notre-Dame » (Nothing extra); #326 « Melody Sheet for the Fugue of Notre-Dame » (Nothing extra); #328 « Melody Sheet for the Sonata of Notre-Dame » (Nothing extra); #327 « The Corrupted Pipes of the Notre-Dame Organ » (Nothing extra); #325 « The Masters of Music hide from Death » (Nothing extra)</t>
  </si>
  <si>
    <t>Collapsed Crypt</t>
  </si>
  <si>
    <t>Sealed Scriptorium</t>
  </si>
  <si>
    <t>Bishop's Office</t>
  </si>
  <si>
    <t>Other xlsx candidates: #317 « Catacomb Relic » (The Shadow Confronted); #316 « Hospital Relic » (The Shadow Confronted); #315 « Tomb Relic » (The Shadow Confronted AND Arcane Whip)</t>
  </si>
  <si>
    <t>Circle of Greed</t>
  </si>
  <si>
    <t>Other xlsx #318 | Clue title: « A Door made of Flesh and Eyes »</t>
  </si>
  <si>
    <t>Hospital</t>
  </si>
  <si>
    <t>The Shadow Confronted AND Arcane Whip AND Double Jump AND Smash</t>
  </si>
  <si>
    <t>Other xlsx #314 | Clue title: « Stolen Oboles »</t>
  </si>
  <si>
    <t>Other xlsx #340 | Clue title: « Isaac waits in the Clock Tower »</t>
  </si>
  <si>
    <t>Glass Gallery</t>
  </si>
  <si>
    <t>Other xlsx #345 | Clue title: « The Temptress guards the Hall of Mirrors »</t>
  </si>
  <si>
    <t>Other xlsx #346 | Clue title: « Feat of Strength »</t>
  </si>
  <si>
    <t>Other xlsx #347 | Clue title: « Balancing the Scales of Justice » | Other xlsx puts it in the Notre-Dame logic region – to verify</t>
  </si>
  <si>
    <t>Heart of the Maze</t>
  </si>
  <si>
    <t>Other xlsx candidates: #343 « A Sketch from Talos » (Nothing extra); #341 « Eleanor Flees to the Cemetary » (Nothing extra); #342 « Kneeling is the Way » (Nothing extra); #344 « The Reflection Deceives » (Nothing extra)</t>
  </si>
  <si>
    <t>Looping Hallways</t>
  </si>
  <si>
    <t>No same-area match in the other xlsx (they place this card's clues in: Hall of Mirrors)</t>
  </si>
  <si>
    <t>Arcane Whip AND Holy Light AND Smash AND Aerial Rush AND Double Jump AND Tarot : The Judge AND Tarot : The Sage AND Tarot : The Whisperer AND Tarot : The Warrior</t>
  </si>
  <si>
    <t>Other xlsx #355: Four virtue trials need Chains of Justice, Infernal Pyre, Mirror Walk, Freezing Path; then The Self. Absorbing her arcana (Absolution, game id RageIncarnation) normally turns Cursed Flame into Absolution, the true-ending spell (Charles).</t>
  </si>
  <si>
    <t>Gate of the Catacombs</t>
  </si>
  <si>
    <t>Other xlsx #146 | Leon Boss Loot 1/2: which of Tarot/Key is 1 or 2 not specified</t>
  </si>
  <si>
    <t>Other xlsx #149 | Joan Boss Loot 1/2: Tarot/Key order not specified</t>
  </si>
  <si>
    <t>Other xlsx #152 | Medusa Boss Loot 1/2: Tarot/Key order not specified</t>
  </si>
  <si>
    <t>Throne of the Builder</t>
  </si>
  <si>
    <t>Other xlsx #158</t>
  </si>
  <si>
    <t>Other xlsx #154 | Other xlsx lists TWO Brauner rewards (#154, #155 Boss Loot 1/2): what is the second one?</t>
  </si>
  <si>
    <t>Observatory</t>
  </si>
  <si>
    <t>Other xlsx #156</t>
  </si>
  <si>
    <t>Choir</t>
  </si>
  <si>
    <t>Other xlsx #160</t>
  </si>
  <si>
    <t>Mammon's Lair</t>
  </si>
  <si>
    <t>Other xlsx #359: Mammon's arcana (Wheel of Chaos), absorbed from BossLoot</t>
  </si>
  <si>
    <t>Other xlsx #162 | Other xlsx hangs the Ferryman on the Catacombs region; in-game he appears in every area</t>
  </si>
  <si>
    <t>Other xlsx #357</t>
  </si>
  <si>
    <t>Belmont Manor</t>
  </si>
  <si>
    <t>SuccubusAgnes_Defeated_ID</t>
  </si>
  <si>
    <t>Other xlsx #358: Succubus (Agnes) drops her arcana only (Charles's log: INV_ADD LifeDrain from BossLoot; key SuccubusAgnes_Defeated_ID)</t>
  </si>
  <si>
    <t>Street_Poor_Justice_Louis_Intro (cutscene)</t>
  </si>
  <si>
    <t>Other xlsx #354: The Judge's scales need max HP + max MP &gt;= 320 (Charles). Start 100 HP + 100 MP; each full heart (4 fragments) gives +20 HP or MP; levels only give ATK/DEF. So 6 full upgrades, Health and Mana combined. The arcana is absorbed in the cutscene Street_Poor_Justice_Louis_Intro (client 0.5.6 never skips it). | Not a boss fight (scripted interaction). Other xlsx places it in the Notre-Dame logic region – to verify</t>
  </si>
  <si>
    <t>Mausoleum of the Queens</t>
  </si>
  <si>
    <t>Other xlsx #147</t>
  </si>
  <si>
    <t>Other xlsx #150</t>
  </si>
  <si>
    <t>Other xlsx #153</t>
  </si>
  <si>
    <t>LdBrick_StateMachine_Paintbrush</t>
  </si>
  <si>
    <t>Other xlsx #111: Carmilla's chest gives Brauner's Paintbrush. 0.5.1 removed the duplicate location 112 (LdBrick_StateMachine_Paintbrush, same pickup); the client also sends 112 for older seeds. | Carmilla's chest = Brauner's Paintbrush; 2nd trigger for the same pickup (duplicate removed in the other xlsx)</t>
  </si>
  <si>
    <t>LdBrick_StateMachine_FerrymanObols</t>
  </si>
  <si>
    <t>Other xlsx #53: Mammon's chest = the Ferryman's Obol (F9: Items 1/1). 0.5.11 removed duplicate 54 (LdBrick_StateMachine_FerrymanObols); the client also sends 54 for older seeds. | Mammon's chest = Ferryman's Obol; the game has a 2nd trigger for the same pickup (other xlsx removed it as a duplicate location)</t>
  </si>
  <si>
    <t>Other xlsx #148</t>
  </si>
  <si>
    <t>Other xlsx #151</t>
  </si>
  <si>
    <t>Other xlsx #157</t>
  </si>
  <si>
    <t>Other xlsx #159</t>
  </si>
  <si>
    <t>Other xlsx #161</t>
  </si>
  <si>
    <t>Courage of Gabriel</t>
  </si>
  <si>
    <t>Temperance of Mary</t>
  </si>
  <si>
    <t>Justice of Emmanuel</t>
  </si>
  <si>
    <t>Prudence of Denis</t>
  </si>
  <si>
    <t>Altar of Bones</t>
  </si>
  <si>
    <t>Other xlsx #360. First fight against Death; the client turns the flag into a check and only keeps the key once the item is received</t>
  </si>
  <si>
    <t>Other xlsx #352</t>
  </si>
  <si>
    <t>Arcane Whip AND Holy Light AND Smash AND Double Jump AND The Shadow Confronted</t>
  </si>
  <si>
    <t>Other xlsx #351. Shared save id across altars: match by vanilla item</t>
  </si>
  <si>
    <t>Other xlsx #350. Shared save id 125be7fb-… across altars: match by vanilla item</t>
  </si>
  <si>
    <t>PS - Abandoned Sewers : EXP Statue 1</t>
  </si>
  <si>
    <t>Destruction (Statue)</t>
  </si>
  <si>
    <t>Abandoned Sewers</t>
  </si>
  <si>
    <t>Other xlsx #182</t>
  </si>
  <si>
    <t>PS - Abandoned Sewers : EXP Statue 2</t>
  </si>
  <si>
    <t>Other xlsx #183</t>
  </si>
  <si>
    <t>PS - Central Sewer Drain : EXP Statue</t>
  </si>
  <si>
    <t>Other xlsx #186</t>
  </si>
  <si>
    <t>PS - Path of the Rat : EXP Statue</t>
  </si>
  <si>
    <t>Other xlsx #181</t>
  </si>
  <si>
    <t>PS - Ruined Market : EXP Statue</t>
  </si>
  <si>
    <t>Other xlsx #187</t>
  </si>
  <si>
    <t>PS - Sewer Reservoir : EXP Statue 2</t>
  </si>
  <si>
    <t>Other xlsx #180</t>
  </si>
  <si>
    <t>PS - Undercity : EXP Statue</t>
  </si>
  <si>
    <t>Undercity</t>
  </si>
  <si>
    <t>Arcane Whip OR (Double Jump AND Holy Light) OR Double Jump</t>
  </si>
  <si>
    <t>Other xlsx #185</t>
  </si>
  <si>
    <t>PS - Bridge of the Millers : EXP Statue</t>
  </si>
  <si>
    <t>Bridge of the Millers</t>
  </si>
  <si>
    <t>The Shadow Confronted AND Arcane Whip</t>
  </si>
  <si>
    <t>Other xlsx #172</t>
  </si>
  <si>
    <t>PS - Burned District : EXP Statue 1</t>
  </si>
  <si>
    <t>Other xlsx #173</t>
  </si>
  <si>
    <t>PS - Burned District : EXP Statue 2</t>
  </si>
  <si>
    <t>Other xlsx #179</t>
  </si>
  <si>
    <t>PS - Court of Miracles : EXP Statue 1</t>
  </si>
  <si>
    <t>Court of Miracles</t>
  </si>
  <si>
    <t>Other xlsx #168</t>
  </si>
  <si>
    <t>PS - Court of Miracles : EXP Statue 2</t>
  </si>
  <si>
    <t>Other xlsx #169</t>
  </si>
  <si>
    <t>PS - Court of Miracles : EXP Statue 3</t>
  </si>
  <si>
    <t>Other xlsx #170</t>
  </si>
  <si>
    <t>PS - Guard Level : EXP Statue</t>
  </si>
  <si>
    <t>Other xlsx #184</t>
  </si>
  <si>
    <t>PS - Morgue : EXP Statue 1</t>
  </si>
  <si>
    <t>Morgue</t>
  </si>
  <si>
    <t>Other xlsx #189</t>
  </si>
  <si>
    <t>PS - Morgue : EXP Statue 2</t>
  </si>
  <si>
    <t>Other xlsx #190</t>
  </si>
  <si>
    <t>PS - Prison Tower : EXP Statue 1</t>
  </si>
  <si>
    <t>Prison Tower</t>
  </si>
  <si>
    <t>Other xlsx #163</t>
  </si>
  <si>
    <t>PS - Prison Tower : EXP Statue 2</t>
  </si>
  <si>
    <t>Other xlsx #164</t>
  </si>
  <si>
    <t>PS - Prison Tower : EXP Statue 3</t>
  </si>
  <si>
    <t>Other xlsx #165</t>
  </si>
  <si>
    <t>PS - Prison Tower : EXP Statue 4</t>
  </si>
  <si>
    <t>Other xlsx #166</t>
  </si>
  <si>
    <t>PS - Prison Tower : EXP Statue 5</t>
  </si>
  <si>
    <t>Other xlsx #167</t>
  </si>
  <si>
    <t>PS - Seer's Hovel : EXP Statue</t>
  </si>
  <si>
    <t>Other xlsx #188</t>
  </si>
  <si>
    <t>PS - Sewer Reservoir : EXP Statue 1</t>
  </si>
  <si>
    <t>Other xlsx #171</t>
  </si>
  <si>
    <t>PS - Street of the Tomb Masons : EXP Statue 1</t>
  </si>
  <si>
    <t>Other xlsx #174</t>
  </si>
  <si>
    <t>PS - Street of the Tomb Masons : EXP Statue 2</t>
  </si>
  <si>
    <t>Other xlsx #175</t>
  </si>
  <si>
    <t>PS - Street of the Tomb Masons : EXP Statue 3</t>
  </si>
  <si>
    <t>Other xlsx #176</t>
  </si>
  <si>
    <t>PS - Street of the Tomb Masons : EXP Statue 4</t>
  </si>
  <si>
    <t>Other xlsx #177</t>
  </si>
  <si>
    <t>PS - Upper Tower : EXP Statue</t>
  </si>
  <si>
    <t>Other xlsx #178</t>
  </si>
  <si>
    <t>HIC - Ancient Sewers : EXP Statue</t>
  </si>
  <si>
    <t>Ancient Sewers</t>
  </si>
  <si>
    <t>Other xlsx #203</t>
  </si>
  <si>
    <t>HIC - Cemetery Entrance : EXP Statue</t>
  </si>
  <si>
    <t>Other xlsx #201</t>
  </si>
  <si>
    <t>HIC - Fountain of the Innocents : EXP Statue</t>
  </si>
  <si>
    <t>Other xlsx #191</t>
  </si>
  <si>
    <t>HIC - Hot Springs : EXP Statue</t>
  </si>
  <si>
    <t>Other xlsx #196</t>
  </si>
  <si>
    <t>HIC - Memorial for the Dead : EXP Statue 1</t>
  </si>
  <si>
    <t>Memorial for the Dead</t>
  </si>
  <si>
    <t>Other xlsx #198</t>
  </si>
  <si>
    <t>HIC - Memorial for the Dead : EXP Statue 2</t>
  </si>
  <si>
    <t>Other xlsx #199</t>
  </si>
  <si>
    <t>HIC - Memorial for the Dead : EXP Statue 3</t>
  </si>
  <si>
    <t>Other xlsx #200</t>
  </si>
  <si>
    <t>HIC - Overgrown Crypt : EXP Statue 1</t>
  </si>
  <si>
    <t>Overgrown Crypt</t>
  </si>
  <si>
    <t>Other xlsx #204</t>
  </si>
  <si>
    <t>HIC - Overgrown Crypt : EXP Statue 2</t>
  </si>
  <si>
    <t>Other xlsx #205</t>
  </si>
  <si>
    <t>HIC - Pauper's Grave : EXP Statue</t>
  </si>
  <si>
    <t>Other xlsx #192</t>
  </si>
  <si>
    <t>HIC - Roman Baths : EXP Statue 1</t>
  </si>
  <si>
    <t>Other xlsx #194</t>
  </si>
  <si>
    <t>HIC - Roman Baths : EXP Statue 2</t>
  </si>
  <si>
    <t>Other xlsx #195</t>
  </si>
  <si>
    <t>HIC - Ruins Entrance : EXP Statue</t>
  </si>
  <si>
    <t>Ruins Entrance</t>
  </si>
  <si>
    <t>Other xlsx #193</t>
  </si>
  <si>
    <t>HIC - Sepulcher of the Knight : EXP Statue</t>
  </si>
  <si>
    <t>Other xlsx #202</t>
  </si>
  <si>
    <t>HIC - Serpents' Lair : EXP Statue</t>
  </si>
  <si>
    <t>Serpents' Lair</t>
  </si>
  <si>
    <t>Other xlsx #197</t>
  </si>
  <si>
    <t>CoP - Catacomb Entrance : EXP Statue 1</t>
  </si>
  <si>
    <t>Other xlsx #212</t>
  </si>
  <si>
    <t>Catacombs of Paris (Entrance)</t>
  </si>
  <si>
    <t>CoP - Antechamber of Sin : EXP Statue 1</t>
  </si>
  <si>
    <t>Smash AND Aerial Rush AND Arcane Whip</t>
  </si>
  <si>
    <t>Other xlsx #224</t>
  </si>
  <si>
    <t>CoP - Antechamber of Sin : EXP Statue 2</t>
  </si>
  <si>
    <t>Other xlsx #225</t>
  </si>
  <si>
    <t>CoP - Blood Pits : EXP Statue 1</t>
  </si>
  <si>
    <t>Blood Pits</t>
  </si>
  <si>
    <t>Other xlsx #209</t>
  </si>
  <si>
    <t>CoP - Blood Pits : EXP Statue 2</t>
  </si>
  <si>
    <t>Other xlsx #210</t>
  </si>
  <si>
    <t>CoP - Catacomb Entrance : EXP Statue 2</t>
  </si>
  <si>
    <t>Other xlsx #213</t>
  </si>
  <si>
    <t>CoP - Catacomb Entrance : EXP Statue 3</t>
  </si>
  <si>
    <t>Other xlsx #214</t>
  </si>
  <si>
    <t>CoP - Chamber of Whispers : EXP Statue</t>
  </si>
  <si>
    <t>Chamber of Whispers</t>
  </si>
  <si>
    <t>Other xlsx #208</t>
  </si>
  <si>
    <t>CoP - Charnel Galleries : EXP Statue</t>
  </si>
  <si>
    <t>Other xlsx #215</t>
  </si>
  <si>
    <t>CoP - Collapsed Path of Orpheus : EXP Statue 1</t>
  </si>
  <si>
    <t>Other xlsx #217</t>
  </si>
  <si>
    <t>CoP - Collapsed Path of Orpheus : EXP Statue 2</t>
  </si>
  <si>
    <t>Other xlsx #218</t>
  </si>
  <si>
    <t>CoP - Collapsed Path of Orpheus : EXP Statue 3</t>
  </si>
  <si>
    <t>Other xlsx #219</t>
  </si>
  <si>
    <t>CoP - Collapsed Path of Orpheus : EXP Statue 4</t>
  </si>
  <si>
    <t>Other xlsx #221</t>
  </si>
  <si>
    <t>CoP - Gallery of Teeth : EXP Statue 1</t>
  </si>
  <si>
    <t>Gallery of Teeth</t>
  </si>
  <si>
    <t>Other xlsx #206</t>
  </si>
  <si>
    <t>CoP - Gallery of Teeth : EXP Statue 2</t>
  </si>
  <si>
    <t>Other xlsx #207</t>
  </si>
  <si>
    <t>CoP - Jaws of Limbo : EXP Statue</t>
  </si>
  <si>
    <t>Other xlsx #211</t>
  </si>
  <si>
    <t>CoP - Path of the Abyss : EXP Statue</t>
  </si>
  <si>
    <t>Other xlsx #216</t>
  </si>
  <si>
    <t>CoP - Realm of Old Night : EXP Statue 1</t>
  </si>
  <si>
    <t>Realm of Old Night</t>
  </si>
  <si>
    <t>Other xlsx #220</t>
  </si>
  <si>
    <t>CoP - Realm of Old Night : EXP Statue 2</t>
  </si>
  <si>
    <t>Other xlsx #222</t>
  </si>
  <si>
    <t>CoP - Realm of Old Night : EXP Statue 3</t>
  </si>
  <si>
    <t>Other xlsx #223</t>
  </si>
  <si>
    <t>MH - Armoury : EXP Statue</t>
  </si>
  <si>
    <t>Armoury</t>
  </si>
  <si>
    <t>Other xlsx #264</t>
  </si>
  <si>
    <t>MH - Ballrooms : EXP Statue 1</t>
  </si>
  <si>
    <t>Ballrooms</t>
  </si>
  <si>
    <t>Other xlsx #257</t>
  </si>
  <si>
    <t>MH - Ballrooms : EXP Statue 2</t>
  </si>
  <si>
    <t>Other xlsx #258</t>
  </si>
  <si>
    <t>MH - Boudoirs : EXP Statue</t>
  </si>
  <si>
    <t>Boudoirs</t>
  </si>
  <si>
    <t>Other xlsx #256</t>
  </si>
  <si>
    <t>MH - Dungeon : EXP Statue 1</t>
  </si>
  <si>
    <t>Dungeon</t>
  </si>
  <si>
    <t>Other xlsx #245</t>
  </si>
  <si>
    <t>MH - Dungeon : EXP Statue 2</t>
  </si>
  <si>
    <t>Other xlsx #246</t>
  </si>
  <si>
    <t>MH - Dungeon : EXP Statue 3</t>
  </si>
  <si>
    <t>Other xlsx #247</t>
  </si>
  <si>
    <t>MH - Dungeon : EXP Statue 4</t>
  </si>
  <si>
    <t>Other xlsx #248</t>
  </si>
  <si>
    <t>MH - Dungeon : EXP Statue 5</t>
  </si>
  <si>
    <t>Other xlsx #249</t>
  </si>
  <si>
    <t>MH - Entrance Corridor : EXP Statue 1</t>
  </si>
  <si>
    <t>Entrance Corridor</t>
  </si>
  <si>
    <t>Other xlsx #262</t>
  </si>
  <si>
    <t>MH - Entrance Corridor : EXP Statue 2</t>
  </si>
  <si>
    <t>Other xlsx #265</t>
  </si>
  <si>
    <t>MH - Grand Hall : EXP Statue 1</t>
  </si>
  <si>
    <t>Grand Hall</t>
  </si>
  <si>
    <t>Other xlsx #250</t>
  </si>
  <si>
    <t>MH - Grand Hall : EXP Statue 2</t>
  </si>
  <si>
    <t>Other xlsx #251</t>
  </si>
  <si>
    <t>MH - Grand Hall : EXP Statue 3</t>
  </si>
  <si>
    <t>Other xlsx #252</t>
  </si>
  <si>
    <t>MH - Grand Hall : EXP Statue 4</t>
  </si>
  <si>
    <t>Other xlsx #253</t>
  </si>
  <si>
    <t>MH - Grand Hall : EXP Statue 5</t>
  </si>
  <si>
    <t>Other xlsx #254</t>
  </si>
  <si>
    <t>MH - Torture Chambers : EXP Statue 1</t>
  </si>
  <si>
    <t>Torture Chambers</t>
  </si>
  <si>
    <t>Other xlsx #259</t>
  </si>
  <si>
    <t>MH - Torture Chambers : EXP Statue 2</t>
  </si>
  <si>
    <t>Other xlsx #260</t>
  </si>
  <si>
    <t>MH - Torture Chambers : EXP Statue 3</t>
  </si>
  <si>
    <t>Other xlsx #261</t>
  </si>
  <si>
    <t>MH - West Hall : EXP Statue</t>
  </si>
  <si>
    <t>Other xlsx #255</t>
  </si>
  <si>
    <t>MH - Wine Cellar : EXP Statue</t>
  </si>
  <si>
    <t>Other xlsx #263</t>
  </si>
  <si>
    <t>ND - Apse : EXP Statue 1</t>
  </si>
  <si>
    <t>Apse</t>
  </si>
  <si>
    <t>Other xlsx #230</t>
  </si>
  <si>
    <t>ND - Apse : EXP Statue 2</t>
  </si>
  <si>
    <t>Other xlsx #231</t>
  </si>
  <si>
    <t>ND - Boss Arthur : EXP Statue 1</t>
  </si>
  <si>
    <t>Boss Arthur</t>
  </si>
  <si>
    <t>Other xlsx #243: Arthur only fights with Fist of Talos (The Builder's spell) equipped (Charles).</t>
  </si>
  <si>
    <t>ND - Boss Arthur : EXP Statue 2</t>
  </si>
  <si>
    <t>Other xlsx #244: Arthur only fights with Fist of Talos (The Builder's spell) equipped (Charles).</t>
  </si>
  <si>
    <t>ND - Chapel of Patience : EXP Statue</t>
  </si>
  <si>
    <t>Other xlsx #227</t>
  </si>
  <si>
    <t>ND - East Gallery : EXP Statue 1</t>
  </si>
  <si>
    <t>Other xlsx #237</t>
  </si>
  <si>
    <t>ND - East Gallery : EXP Statue 2</t>
  </si>
  <si>
    <t>Other xlsx #238</t>
  </si>
  <si>
    <t>ND - Great Organ Room : EXP Statue</t>
  </si>
  <si>
    <t>Other xlsx #242</t>
  </si>
  <si>
    <t>ND - Narthex : EXP Statue</t>
  </si>
  <si>
    <t>Narthex</t>
  </si>
  <si>
    <t>Other xlsx #226</t>
  </si>
  <si>
    <t>ND - Nave : EXP Statue 1</t>
  </si>
  <si>
    <t>Other xlsx #235</t>
  </si>
  <si>
    <t>ND - Nave : EXP Statue 2</t>
  </si>
  <si>
    <t>Other xlsx #236</t>
  </si>
  <si>
    <t>ND - Notre-Dame Undercroft : EXP Statue</t>
  </si>
  <si>
    <t>Notre-Dame Undercroft</t>
  </si>
  <si>
    <t>Other xlsx #229</t>
  </si>
  <si>
    <t>ND - Path of the Penitent : EXP Statue</t>
  </si>
  <si>
    <t>Other xlsx #240</t>
  </si>
  <si>
    <t>ND - Reliquary : EXP Statue</t>
  </si>
  <si>
    <t>Other xlsx #239</t>
  </si>
  <si>
    <t>ND - The Forest : EXP Statue</t>
  </si>
  <si>
    <t>The Forest</t>
  </si>
  <si>
    <t>Other xlsx #241</t>
  </si>
  <si>
    <t>ND - Tomb of the Chevaliers : EXP Statue 1</t>
  </si>
  <si>
    <t>Tomb of the Chevaliers</t>
  </si>
  <si>
    <t>Other xlsx #232</t>
  </si>
  <si>
    <t>ND - Tomb of the Chevaliers : EXP Statue 2</t>
  </si>
  <si>
    <t>Other xlsx #233</t>
  </si>
  <si>
    <t>ND - Transept : EXP Statue</t>
  </si>
  <si>
    <t>Other xlsx #234</t>
  </si>
  <si>
    <t>ND - West Triforium : EXP Statue</t>
  </si>
  <si>
    <t>West Triforium</t>
  </si>
  <si>
    <t>Other xlsx #228</t>
  </si>
  <si>
    <t>L - Astronomer's Office : EXP Statue</t>
  </si>
  <si>
    <t>Other xlsx #268</t>
  </si>
  <si>
    <t>L - Exhibition Room : EXP Statue</t>
  </si>
  <si>
    <t>Exhibition Room</t>
  </si>
  <si>
    <t>Other xlsx #274</t>
  </si>
  <si>
    <t>L - Library Foyer : EXP Statue</t>
  </si>
  <si>
    <t>Library Foyer</t>
  </si>
  <si>
    <t>Other xlsx #267</t>
  </si>
  <si>
    <t>L - Natural Philosophy Shelves : EXP Statue 1</t>
  </si>
  <si>
    <t>Other xlsx #270</t>
  </si>
  <si>
    <t>L - Natural Philosophy Shelves : EXP Statue 2</t>
  </si>
  <si>
    <t>Other xlsx #271</t>
  </si>
  <si>
    <t>L - Poetry Shelves : EXP Statue</t>
  </si>
  <si>
    <t>Poetry Shelves</t>
  </si>
  <si>
    <t>Other xlsx #266</t>
  </si>
  <si>
    <t>L - Study Room : EXP Statue 1</t>
  </si>
  <si>
    <t>Other xlsx #272</t>
  </si>
  <si>
    <t>L - Study Room : EXP Statue 2</t>
  </si>
  <si>
    <t>Other xlsx #273</t>
  </si>
  <si>
    <t>L - Trophy Room : EXP Statue</t>
  </si>
  <si>
    <t>Trophy Room</t>
  </si>
  <si>
    <t>Other xlsx #269</t>
  </si>
  <si>
    <t>HoM - Boudoir of Bewilderment : EXP Statue</t>
  </si>
  <si>
    <t>Boudoir of Bewilderment</t>
  </si>
  <si>
    <t>Other xlsx #289</t>
  </si>
  <si>
    <t>HoM - Dead-end Tower : EXP Statue</t>
  </si>
  <si>
    <t>Other xlsx #295</t>
  </si>
  <si>
    <t>HoM - Familiar Way : EXP Statue</t>
  </si>
  <si>
    <t>Familiar Way</t>
  </si>
  <si>
    <t>Other xlsx #294</t>
  </si>
  <si>
    <t>HoM - Gallery of Glass : EXP Statue</t>
  </si>
  <si>
    <t>Gallery of Glass</t>
  </si>
  <si>
    <t>Other xlsx #293</t>
  </si>
  <si>
    <t>HoM - Level Deviled : EXP Statue</t>
  </si>
  <si>
    <t>Other xlsx #300</t>
  </si>
  <si>
    <t>HoM - Looping Hallways : EXP Statue 1</t>
  </si>
  <si>
    <t>Other xlsx #298</t>
  </si>
  <si>
    <t>HoM - Looping Hallways : EXP Statue 2</t>
  </si>
  <si>
    <t>Other xlsx #299</t>
  </si>
  <si>
    <t>HoM - Nightmare Atrium : EXP Statue</t>
  </si>
  <si>
    <t>Nightmare Atrium</t>
  </si>
  <si>
    <t>Other xlsx #301</t>
  </si>
  <si>
    <t>HoM - Passage of Perplexity : EXP Statue</t>
  </si>
  <si>
    <t>Passage of Perplexity</t>
  </si>
  <si>
    <t>Other xlsx #292</t>
  </si>
  <si>
    <t>HoM - Servants' Refectory : EXP Statue</t>
  </si>
  <si>
    <t>Servants' Refectory</t>
  </si>
  <si>
    <t>Other xlsx #297</t>
  </si>
  <si>
    <t>HoM - Steps of Misdirection : EXP Statue 1</t>
  </si>
  <si>
    <t>Other xlsx #290</t>
  </si>
  <si>
    <t>HoM - Steps of Misdirection : EXP Statue 2</t>
  </si>
  <si>
    <t>Other xlsx #291</t>
  </si>
  <si>
    <t>HoM - Threshold of Vision : EXP Statue</t>
  </si>
  <si>
    <t>Threshold of Vision</t>
  </si>
  <si>
    <t>Other xlsx #296</t>
  </si>
  <si>
    <t>HoM - Tower of Worldly Reflection : EXP Statue 1</t>
  </si>
  <si>
    <t>Tower of Worldly Reflection</t>
  </si>
  <si>
    <t>Other xlsx #302</t>
  </si>
  <si>
    <t>HoM - Tower of Worldly Reflection : EXP Statue 2</t>
  </si>
  <si>
    <t>Other xlsx #303</t>
  </si>
  <si>
    <t>HoM - Tower of Worldly Reflection : EXP Statue 3</t>
  </si>
  <si>
    <t>Other xlsx #304</t>
  </si>
  <si>
    <t>HoM - Tower of Worldly Reflection : EXP Statue 4</t>
  </si>
  <si>
    <t>Other xlsx #305</t>
  </si>
  <si>
    <t>HoM - Tower of Worldly Reflection : EXP Statue 5</t>
  </si>
  <si>
    <t>Other xlsx #306</t>
  </si>
  <si>
    <t>HoM - Tower of Worldly Reflection : EXP Statue 6</t>
  </si>
  <si>
    <t>Other xlsx #307</t>
  </si>
  <si>
    <t>HoM - Tower of Worldly Reflection : EXP Statue 7</t>
  </si>
  <si>
    <t>Other xlsx #308</t>
  </si>
  <si>
    <t>HoM - Tower of Worldly Reflection : EXP Statue 8</t>
  </si>
  <si>
    <t>Other xlsx #309</t>
  </si>
  <si>
    <t>CT - Daedalus Crossing : EXP Statue 1</t>
  </si>
  <si>
    <t>Other xlsx #284</t>
  </si>
  <si>
    <t>CT - Daedalus Crossing : EXP Statue 2</t>
  </si>
  <si>
    <t>Other xlsx #285</t>
  </si>
  <si>
    <t>CT - Daedalus Crossing : EXP Statue 3</t>
  </si>
  <si>
    <t>Other xlsx #286</t>
  </si>
  <si>
    <t>CT - Eastern Access Shaft : EXP Statue 1</t>
  </si>
  <si>
    <t>Other xlsx #278</t>
  </si>
  <si>
    <t>CT - Eastern Access Shaft : EXP Statue 2</t>
  </si>
  <si>
    <t>Other xlsx #279</t>
  </si>
  <si>
    <t>CT - Eastern Access Shaft : EXP Statue 3</t>
  </si>
  <si>
    <t>Other xlsx #280</t>
  </si>
  <si>
    <t>CT - Eastern Access Shaft : EXP Statue 4</t>
  </si>
  <si>
    <t>Other xlsx #281</t>
  </si>
  <si>
    <t>CT - Eastern Access Shaft : EXP Statue 5</t>
  </si>
  <si>
    <t>Other xlsx #282</t>
  </si>
  <si>
    <t>CT - Mechanic's Ascent : EXP Statue</t>
  </si>
  <si>
    <t>Other xlsx #288</t>
  </si>
  <si>
    <t>CT - Path of the Builder : EXP Statue</t>
  </si>
  <si>
    <t>Other xlsx #276</t>
  </si>
  <si>
    <t>CT - Serpent Pinion : EXP Statue</t>
  </si>
  <si>
    <t>Serpent Pinion</t>
  </si>
  <si>
    <t>Other xlsx #275</t>
  </si>
  <si>
    <t>CT - Clock Keeper's Atrium : EXP Statue</t>
  </si>
  <si>
    <t>Clock Keeper's Atrium</t>
  </si>
  <si>
    <t>Other xlsx #287</t>
  </si>
  <si>
    <t>CT - Eastern Summit : EXP Statue 1</t>
  </si>
  <si>
    <t>Eastern Summit</t>
  </si>
  <si>
    <t>Other xlsx #277</t>
  </si>
  <si>
    <t>CT - Eastern Summit : EXP Statue 2</t>
  </si>
  <si>
    <t>Other xlsx #283</t>
  </si>
  <si>
    <t>PS - Undercity : Brave Heart Fragment</t>
  </si>
  <si>
    <t>Augmentation (interact)</t>
  </si>
  <si>
    <t>(Double Jump AND Holy Light) OR (Arcane Whip AND Holy Light) OR (Aerial Rush AND Holy Light)</t>
  </si>
  <si>
    <t>Other xlsx #16</t>
  </si>
  <si>
    <t>PS - Court of Justice : Brave Heart Fragment</t>
  </si>
  <si>
    <t>Court of Justice</t>
  </si>
  <si>
    <t>Other xlsx #15</t>
  </si>
  <si>
    <t>PS - Prison Tower : Brave Heart Fragment</t>
  </si>
  <si>
    <t>Other xlsx #14</t>
  </si>
  <si>
    <t>PS - Guard Storehouse : Wise Heart Fragment</t>
  </si>
  <si>
    <t>Guard Storehouse</t>
  </si>
  <si>
    <t>Arcane Whip AND Double Jump AND Holy Light AND Smash</t>
  </si>
  <si>
    <t>Other xlsx #17</t>
  </si>
  <si>
    <t>PS - Street of the Tomb Masons : Wise Heart Fragment</t>
  </si>
  <si>
    <t>Arcane Whip OR (Arcane Whip AND Double Jump)</t>
  </si>
  <si>
    <t>Other xlsx #18</t>
  </si>
  <si>
    <t>PS - Torture Level : Wise Heart Fragment</t>
  </si>
  <si>
    <t>Torture Level</t>
  </si>
  <si>
    <t>Other xlsx #19</t>
  </si>
  <si>
    <t>HIC - Ancient Sewers : Brave Heart Fragment</t>
  </si>
  <si>
    <t>Other xlsx #33</t>
  </si>
  <si>
    <t>HIC - Mausoleum of the Kings : Brave Heart Fragment</t>
  </si>
  <si>
    <t>Mausoleum of the Kings</t>
  </si>
  <si>
    <t>Other xlsx #34</t>
  </si>
  <si>
    <t>HIC - Ossuary of the Innocents : Brave Heart Fragment</t>
  </si>
  <si>
    <t>Other xlsx #32</t>
  </si>
  <si>
    <t>HIC - Cloister : Wise Heart Fragment</t>
  </si>
  <si>
    <t>Cloister</t>
  </si>
  <si>
    <t>Other xlsx #36</t>
  </si>
  <si>
    <t>HIC - Mausoleum of the Kings : Wise Heart Fragment</t>
  </si>
  <si>
    <t>Other xlsx #37</t>
  </si>
  <si>
    <t>HIC - Roman Baths : Wise Heart Fragment</t>
  </si>
  <si>
    <t>Other xlsx #35</t>
  </si>
  <si>
    <t>CoP - Blood Pits : Brave Heart Fragment</t>
  </si>
  <si>
    <t>Other xlsx #47</t>
  </si>
  <si>
    <t>CoP - Catacomb Entrance : Brave Heart Fragment</t>
  </si>
  <si>
    <t>Other xlsx #48</t>
  </si>
  <si>
    <t>CoP - Circle of Greed : Brave Heart Fragment</t>
  </si>
  <si>
    <t>Other xlsx #49</t>
  </si>
  <si>
    <t>CoP - Chamber of Whispers : Wise Heart Fragment</t>
  </si>
  <si>
    <t>Other xlsx #50</t>
  </si>
  <si>
    <t>CoP - Hall of the Fallen Angels : Wise Heart Fragment</t>
  </si>
  <si>
    <t>Other xlsx #52</t>
  </si>
  <si>
    <t>CoP - Throat of Hell : Wise Heart Fragment</t>
  </si>
  <si>
    <t>Other xlsx #51</t>
  </si>
  <si>
    <t>MH - Armoury : Brave Heart Fragment</t>
  </si>
  <si>
    <t>Other xlsx #91</t>
  </si>
  <si>
    <t>MH - Balcony : Brave Heart Fragment</t>
  </si>
  <si>
    <t>Balcony</t>
  </si>
  <si>
    <t>Other xlsx #93</t>
  </si>
  <si>
    <t>MH - Mirror Rooms : Brave Heart Fragment</t>
  </si>
  <si>
    <t>Mirror Rooms</t>
  </si>
  <si>
    <t>Aerial Rush AND Double Jump</t>
  </si>
  <si>
    <t>Other xlsx #92</t>
  </si>
  <si>
    <t>MH - Balcony : Wise Heart Fragment</t>
  </si>
  <si>
    <t>Other xlsx #94</t>
  </si>
  <si>
    <t>MH - Entrance Corridor : Wise Heart Fragment</t>
  </si>
  <si>
    <t>Arcane Whip OR Double Jump OR Aerial Rush</t>
  </si>
  <si>
    <t>Other xlsx #95</t>
  </si>
  <si>
    <t>MH - Wine Cellar : Wise Heart Fragment</t>
  </si>
  <si>
    <t>Other xlsx #96</t>
  </si>
  <si>
    <t>ND - La Flèche : Brave Heart Fragment</t>
  </si>
  <si>
    <t>Other xlsx #70</t>
  </si>
  <si>
    <t>ND - The Forest : Brave Heart Fragment</t>
  </si>
  <si>
    <t>Other xlsx #71</t>
  </si>
  <si>
    <t>ND - Tree of Saints : Brave Heart Fragment</t>
  </si>
  <si>
    <t>Tree of Saints</t>
  </si>
  <si>
    <t>Other xlsx #69</t>
  </si>
  <si>
    <t>ND - Apse : Wise Heart Fragment</t>
  </si>
  <si>
    <t>Other xlsx #74</t>
  </si>
  <si>
    <t>ND - Chapel of Patience : Wise Heart Fragment</t>
  </si>
  <si>
    <t>Other xlsx #73</t>
  </si>
  <si>
    <t>ND - Tree of Saints : Wise Heart Fragment</t>
  </si>
  <si>
    <t>Other xlsx #72</t>
  </si>
  <si>
    <t>L - Library Foyer : Brave Heart Fragment</t>
  </si>
  <si>
    <t>Other xlsx #107</t>
  </si>
  <si>
    <t>L - Planetarium : Brave Heart Fragment</t>
  </si>
  <si>
    <t>Planetarium</t>
  </si>
  <si>
    <t>Other xlsx #106</t>
  </si>
  <si>
    <t>L - Poetry Shelves : Brave Heart Fragment</t>
  </si>
  <si>
    <t>Other xlsx #105</t>
  </si>
  <si>
    <t>L - Fine Arts Shelves : Wise Heart Fragment</t>
  </si>
  <si>
    <t>Other xlsx #110</t>
  </si>
  <si>
    <t>L - Planetarium : Wise Heart Fragment</t>
  </si>
  <si>
    <t>Other xlsx #109</t>
  </si>
  <si>
    <t>L - Rhetoric Shelves : Wise Heart Fragment</t>
  </si>
  <si>
    <t>Rhetoric Shelves</t>
  </si>
  <si>
    <t>Holy Light AND Smash</t>
  </si>
  <si>
    <t>Other xlsx #108</t>
  </si>
  <si>
    <t>HoM - Looping Hallways : Brave Heart Fragment</t>
  </si>
  <si>
    <t>Other xlsx #139</t>
  </si>
  <si>
    <t>HoM - Nightmare Atrium : Brave Heart Fragment</t>
  </si>
  <si>
    <t>Other xlsx #140</t>
  </si>
  <si>
    <t>HoM - Steps of Misdirection : Brave Heart Fragment</t>
  </si>
  <si>
    <t>Other xlsx #138</t>
  </si>
  <si>
    <t>HoM - Ballroom of Terror : Wise Heart Fragment</t>
  </si>
  <si>
    <t>Ballroom of Terror</t>
  </si>
  <si>
    <t>Other xlsx #143</t>
  </si>
  <si>
    <t>HoM - Boudoir of Bewilderment : Wise Heart Fragment</t>
  </si>
  <si>
    <t>Other xlsx #141</t>
  </si>
  <si>
    <t>HoM - Chamber of  Secrecy : Wise Heart Fragment</t>
  </si>
  <si>
    <t>Chamber of  Secrecy</t>
  </si>
  <si>
    <t>Other xlsx #142</t>
  </si>
  <si>
    <t>CT - Eastern Steps : Brave Heart Fragment</t>
  </si>
  <si>
    <t>Eastern Steps</t>
  </si>
  <si>
    <t>Other xlsx #123</t>
  </si>
  <si>
    <t>CT - Serpent Pinion : Brave Heart Fragment</t>
  </si>
  <si>
    <t>Other xlsx #125</t>
  </si>
  <si>
    <t>CT - The Gauntlet : Brave Heart Fragment</t>
  </si>
  <si>
    <t>The Gauntlet</t>
  </si>
  <si>
    <t>Other xlsx #124</t>
  </si>
  <si>
    <t>CT - Central Fuel Reservoir : Wise Heart Fragment</t>
  </si>
  <si>
    <t>Central Fuel Reservoir</t>
  </si>
  <si>
    <t>Other xlsx #127</t>
  </si>
  <si>
    <t>CT - Upper Gallery : Wise Heart Fragment</t>
  </si>
  <si>
    <t>Upper Gallery</t>
  </si>
  <si>
    <t>Other xlsx #128</t>
  </si>
  <si>
    <t>CT - West Tower Base : Wise Heart Fragment</t>
  </si>
  <si>
    <t>West Tower Base</t>
  </si>
  <si>
    <t>Other xlsx #126</t>
  </si>
  <si>
    <t>PS - Sewer Reservoir : ATK Book</t>
  </si>
  <si>
    <t>Augmentation (walk over)</t>
  </si>
  <si>
    <t>Arcane Whip OR (Aerial Rush AND Double Jump)</t>
  </si>
  <si>
    <t>Other xlsx #2</t>
  </si>
  <si>
    <t>PS - Prison Tower : ATK Book</t>
  </si>
  <si>
    <t>(Arcane Whip AND Double Jump) OR Arcane Whip</t>
  </si>
  <si>
    <t>Other xlsx #1</t>
  </si>
  <si>
    <t>PS - Stairs to the Tower Roof : ATK Book</t>
  </si>
  <si>
    <t>Stairs to the Tower Roof</t>
  </si>
  <si>
    <t>Other xlsx #3</t>
  </si>
  <si>
    <t>PS - Abandoned Sewers : DEF Book</t>
  </si>
  <si>
    <t>(Double Jump AND Holy Light) OR (Arcane Whip AND Holy Light)</t>
  </si>
  <si>
    <t>Other xlsx #12</t>
  </si>
  <si>
    <t>PS - Ruined Market : DEF Book</t>
  </si>
  <si>
    <t>Double Jump OR Aerial Rush OR Arcane Whip</t>
  </si>
  <si>
    <t>Other xlsx #13</t>
  </si>
  <si>
    <t>PS - Upper Tower : DEF Book</t>
  </si>
  <si>
    <t>Other xlsx #11</t>
  </si>
  <si>
    <t>HIC - Ossuary of the Innocents : ATK Book</t>
  </si>
  <si>
    <t>Other xlsx #21</t>
  </si>
  <si>
    <t>HIC - Overgrown Crypt : ATK Book</t>
  </si>
  <si>
    <t>Other xlsx #22</t>
  </si>
  <si>
    <t>HIC - Ancient Sewers : DEF Book</t>
  </si>
  <si>
    <t>Other xlsx #30</t>
  </si>
  <si>
    <t>HIC - Flooded Crypt : DEF Book</t>
  </si>
  <si>
    <t>Other xlsx #31</t>
  </si>
  <si>
    <t>MH - Old Gallery : ATK Book</t>
  </si>
  <si>
    <t>Other xlsx #78</t>
  </si>
  <si>
    <t>MH - Wine Cellar : ATK Book</t>
  </si>
  <si>
    <t>Other xlsx #77</t>
  </si>
  <si>
    <t>MH - Mirror Rooms : DEF Book</t>
  </si>
  <si>
    <t>Other xlsx #89</t>
  </si>
  <si>
    <t>MH - Servants' Quarters : DEF Book</t>
  </si>
  <si>
    <t>Servants' Quarters</t>
  </si>
  <si>
    <t>Other xlsx #90</t>
  </si>
  <si>
    <t>ND - Narthex : ATK Book</t>
  </si>
  <si>
    <t>Other xlsx #55</t>
  </si>
  <si>
    <t>ND - Tomb of the Chevaliers : ATK Book 1</t>
  </si>
  <si>
    <t>Other xlsx #57</t>
  </si>
  <si>
    <t>ND - Tomb of the Chevaliers : ATK Book 2</t>
  </si>
  <si>
    <t>Other xlsx #58</t>
  </si>
  <si>
    <t>ND - Tree of Saints : ATK Book</t>
  </si>
  <si>
    <t>Other xlsx #56</t>
  </si>
  <si>
    <t>ND - East Triforium : DEF Book</t>
  </si>
  <si>
    <t>East Triforium</t>
  </si>
  <si>
    <t>Other xlsx #67</t>
  </si>
  <si>
    <t>ND - Great Organ Room : DEF Book</t>
  </si>
  <si>
    <t>Other xlsx #68</t>
  </si>
  <si>
    <t>ND - Tree of Saints : DEF Book</t>
  </si>
  <si>
    <t>Other xlsx #66</t>
  </si>
  <si>
    <t>HoM - Ballroom of Terror : ATK Book</t>
  </si>
  <si>
    <t>Other xlsx #131</t>
  </si>
  <si>
    <t>HoM - Looping Hallways : ATK Book</t>
  </si>
  <si>
    <t>Other xlsx #130</t>
  </si>
  <si>
    <t>HoM - Corridor of Déjà Vu : DEF Book</t>
  </si>
  <si>
    <t>Corridor of Déjà Vu</t>
  </si>
  <si>
    <t>Other xlsx #137</t>
  </si>
  <si>
    <t>HoM - Passage of Perplexity : DEF Book</t>
  </si>
  <si>
    <t>Other xlsx #136</t>
  </si>
  <si>
    <t>CT - Counterweight Chamber : ATK Book</t>
  </si>
  <si>
    <t>Counterweight Chamber</t>
  </si>
  <si>
    <t>Other xlsx #113</t>
  </si>
  <si>
    <t>CT - Daedalus Crossing : DEF Book</t>
  </si>
  <si>
    <t>Other xlsx #122</t>
  </si>
  <si>
    <t>CT - Eastern Summit : DEF Book</t>
  </si>
  <si>
    <t>Other xlsx #121</t>
  </si>
  <si>
    <t>Work of Mercy</t>
  </si>
  <si>
    <t>Works of Mercy (virtual)</t>
  </si>
  <si>
    <t>Bank of the River Seine</t>
  </si>
  <si>
    <t>No</t>
  </si>
  <si>
    <t>No same-area match in the other xlsx (they place this card's clues in: nowhere)</t>
  </si>
  <si>
    <t>One row per connection (logic regions, from the other xlsx). One-way passage: write « Impossible » in the blocked direction. B → A left blank = not verified.</t>
  </si>
  <si>
    <t>Region (Area - Sub-area)</t>
  </si>
  <si>
    <t>Connected to</t>
  </si>
  <si>
    <t>Prerequisites A → B</t>
  </si>
  <si>
    <t>Prerequisites B → A</t>
  </si>
  <si>
    <t>Save point? ▼</t>
  </si>
  <si>
    <t>Menu</t>
  </si>
  <si>
    <t>New game</t>
  </si>
  <si>
    <t>Logic root</t>
  </si>
  <si>
    <t>(Start)</t>
  </si>
  <si>
    <t>The Fallen's Key AND The Warrior's Key AND The Prophetess's Key</t>
  </si>
  <si>
    <t>Three-gem door in Leon's boss room (Gate of the Catacombs)</t>
  </si>
  <si>
    <t>(Entrance)</t>
  </si>
  <si>
    <t>Ferryman's Wharf</t>
  </si>
  <si>
    <t>The Ferryman appears in every area; the other xlsx hangs him on the Catacombs</t>
  </si>
  <si>
    <t>Arcane Whip AND The Shadow Confronted</t>
  </si>
  <si>
    <t>East Streets path to the castle; the Catacombs are not on the way</t>
  </si>
  <si>
    <t>Tarot : The Shadow AND Arcane Whip AND Double Jump AND Smash AND Aerial Rush</t>
  </si>
  <si>
    <t>The Shadow's spell (Soul Harvest) disarms the Death Trap</t>
  </si>
  <si>
    <t>Brauner's Paintbrush AND Tarot : The Artist AND Arcane Whip AND Holy Light AND Smash AND Aerial Rush</t>
  </si>
  <si>
    <t>Masterpiece = Tarot : The Artist's spell</t>
  </si>
  <si>
    <t>Mirror Kneel AND Brauner's Paintbrush AND Tarot : The Artist AND Arcane Whip AND Holy Light AND Smash AND Aerial Rush AND (Double Jump OR Aerial Rush OR Whip OR Thorn Whip OR Morning Star OR Vampire Killer)</t>
  </si>
  <si>
    <t>The movement/whip part breaks the 4 seals</t>
  </si>
  <si>
    <t>Master's Quarter (Bad Ending)</t>
  </si>
  <si>
    <t>Reached WITHOUT disarming the Death Trap → Bad Ending</t>
  </si>
  <si>
    <t>(Upper)</t>
  </si>
  <si>
    <t>Dracula → Neutral / True Ending</t>
  </si>
  <si>
    <t>Virtual region for the 44 Work of Mercy checks; each location needs its own card</t>
  </si>
  <si>
    <t>The exit ability will block the room in the logic AND physically in the client (anti-softlock).</t>
  </si>
  <si>
    <t>Boss / NPC</t>
  </si>
  <si>
    <t>Room</t>
  </si>
  <si>
    <t>Region</t>
  </si>
  <si>
    <t>Prerequisites to ENTER</t>
  </si>
  <si>
    <t>Ability required to LEAVE</t>
  </si>
  <si>
    <t>Vanilla reward</t>
  </si>
  <si>
    <t>Absorbable (card)? ▼</t>
  </si>
  <si>
    <t>Linked to an ending? ▼</t>
  </si>
  <si>
    <t>Leon Belmont</t>
  </si>
  <si>
    <t>PS - Gate of the Catacombs</t>
  </si>
  <si>
    <t>Tarot : The Fallen AND The Fallen's Key</t>
  </si>
  <si>
    <t>Yes</t>
  </si>
  <si>
    <t>Jeanne d'Arc 1</t>
  </si>
  <si>
    <t>PS - Roof of the Tower</t>
  </si>
  <si>
    <t>Tarot : The Warrior AND The Warrior's Key</t>
  </si>
  <si>
    <t>Medusa</t>
  </si>
  <si>
    <t>HIC - Ossuary of the Innocents</t>
  </si>
  <si>
    <t>Tarot : The Prophetess AND The Prophetess's Key</t>
  </si>
  <si>
    <t>Death 1</t>
  </si>
  <si>
    <t>CoP - Altar of Bones</t>
  </si>
  <si>
    <t>Flag DeathCatacombs_Defeated_ID; opens the path to the Main Hall (other xlsx)</t>
  </si>
  <si>
    <t>Isaac 1</t>
  </si>
  <si>
    <t>Castle Drawbridge</t>
  </si>
  <si>
    <t>MH - Castle Drawbridge</t>
  </si>
  <si>
    <t>Castle Drawbridge: Main Hall access (Arcane Whip AND The Shadow Confronted) per the other xlsx – to verify</t>
  </si>
  <si>
    <t>Carmilla</t>
  </si>
  <si>
    <t>L - Observatory</t>
  </si>
  <si>
    <t>Arcane Whip AND Holy Light AND The Shadow Confronted</t>
  </si>
  <si>
    <t>Talos</t>
  </si>
  <si>
    <t>CT - Throne of the Builder</t>
  </si>
  <si>
    <t>Brauner (NPC)</t>
  </si>
  <si>
    <t>MH - Brauner's Atelier</t>
  </si>
  <si>
    <t>Arcane Whip AND Holy Light AND Smash AND The Shadow Confronted</t>
  </si>
  <si>
    <t>Saint Louis (NPC)</t>
  </si>
  <si>
    <t>PS - Palace of Justice</t>
  </si>
  <si>
    <t>Arcane Whip AND Holy Light AND &gt;= 320 HP + MP (= 24 Heart Fragments, Brave + Wise combined)</t>
  </si>
  <si>
    <t>Tarot : The Judge AND OHSword : Valmanway</t>
  </si>
  <si>
    <t>Mammon</t>
  </si>
  <si>
    <t>CoP - Mammon's Lair</t>
  </si>
  <si>
    <t>Oozing Eye AND Trembling Eye AND Thrilling Eye (equipped) AND Catacombs access (3 keys AND Arcane Whip AND Holy Light)</t>
  </si>
  <si>
    <t>The Ferryman (NPC)</t>
  </si>
  <si>
    <t>Every Area</t>
  </si>
  <si>
    <t>Other xlsx places his reward in the Catacombs region</t>
  </si>
  <si>
    <t>Arthur</t>
  </si>
  <si>
    <t>ND - Chapel</t>
  </si>
  <si>
    <t>Arcane Whip AND Holy Light AND Aerial Rush AND Smash AND The Shadow Confronted AND Brauner's Paintbrush AND Tarot : The Artist AND Tarot : The Builder (Fist of Talos equipped)</t>
  </si>
  <si>
    <t>Tarot : The Brittle King AND THSword : Excalibur</t>
  </si>
  <si>
    <t>Succubus</t>
  </si>
  <si>
    <t>HoM - Belmont Manor</t>
  </si>
  <si>
    <t>Arcane Whip AND Holy Light AND Aerial Rush AND Smash AND The Shadow Confronted AND Brauner's Paintbrush AND Tarot : The Artist AND Mirror Kneel AND (Double Jump OR Aerial Rush OR a whip)</t>
  </si>
  <si>
    <t>Death 2</t>
  </si>
  <si>
    <t>ND - Choir</t>
  </si>
  <si>
    <t>Arcane Whip AND Holy Light AND Aerial Rush AND Smash AND The Shadow Confronted AND Brauner's Paintbrush AND Tarot : The Artist</t>
  </si>
  <si>
    <t>Aliénor d'Aquitaine (NPC)</t>
  </si>
  <si>
    <t>HIC - Mausoleum of the Queens</t>
  </si>
  <si>
    <t>Arcane Whip AND Holy Light AND Aerial Rush AND Smash AND Double Jump</t>
  </si>
  <si>
    <t>Also appears in the Main Hall, where she grants Mirror Kneel (MC_CharacterDataModificator_Eleanor)</t>
  </si>
  <si>
    <t>Trevor Belmont (NPC)</t>
  </si>
  <si>
    <t>Arcane Whip AND Holy Light AND Aerial Rush AND Smash AND Double Jump AND The Shadow Confronted AND Brauner's Paintbrush AND Tarot : The Artist</t>
  </si>
  <si>
    <t>Whip : Vampire Killer</t>
  </si>
  <si>
    <t>In the room right behind Death 2; the end of that fight normally takes you there automatically</t>
  </si>
  <si>
    <t>Jeanne d'Arc 2</t>
  </si>
  <si>
    <t>ND - Courage of Gabriel</t>
  </si>
  <si>
    <t>Arcane Whip AND Holy Light AND Aerial Rush AND Smash AND Double Jump AND Tarot : The Warrior AND The Shadow Confronted AND Brauner's Paintbrush AND Tarot : The Artist</t>
  </si>
  <si>
    <t>Doppelganger</t>
  </si>
  <si>
    <t>ND - Gallery of the Four Virtues</t>
  </si>
  <si>
    <t>Arcane Whip AND Holy Light AND Aerial Rush AND Smash AND Double Jump AND The Four Virtues AND The Shadow Confronted AND Brauner's Paintbrush AND Tarot : The Artist</t>
  </si>
  <si>
    <t>Isaac 2</t>
  </si>
  <si>
    <t>CT - Heart of the Clock</t>
  </si>
  <si>
    <t>Arcane Whip AND Holy Light AND Aerial Rush AND Smash AND Double Jump AND The Shadow Confronted AND Tarot : The Shadow (Soul Harvest, Death Trap)</t>
  </si>
  <si>
    <t>In Clock Tower (Upper) per the other xlsx</t>
  </si>
  <si>
    <t>Dracula 1</t>
  </si>
  <si>
    <t>Court of the Night</t>
  </si>
  <si>
    <t>MQ - Court of the Night</t>
  </si>
  <si>
    <t>Dracula 2</t>
  </si>
  <si>
    <t>Castle Rooftops</t>
  </si>
  <si>
    <t>MQ - Castle Rooftops</t>
  </si>
  <si>
    <t>3 possible goals in the YAML: Bad / Neutral / True. A finished save can be continued to reach another ending.</t>
  </si>
  <si>
    <t>Ending</t>
  </si>
  <si>
    <t>Region / room</t>
  </si>
  <si>
    <t>Exact conditions</t>
  </si>
  <si>
    <t>Required items</t>
  </si>
  <si>
    <t>What prevents it</t>
  </si>
  <si>
    <t>Bad Ending</t>
  </si>
  <si>
    <t>MQ - Master's Quarter (Bad Ending), entered from the Clock Tower</t>
  </si>
  <si>
    <t>Enter Master's Quarter from the Clock Tower without having disarmed the Death Trap with The Shadow (Soul Harvest)</t>
  </si>
  <si>
    <t>Main Hall access (Arcane Whip AND The Shadow Confronted) AND Arcane Whip AND Holy Light</t>
  </si>
  <si>
    <t>Having disarmed the Death Trap with The Shadow</t>
  </si>
  <si>
    <t>Can be re-triggered at any time with The Shadow; no need to block the room</t>
  </si>
  <si>
    <t>Neutral Ending</t>
  </si>
  <si>
    <t>MQ - Master's Quarter (Dracula), entered from Clock Tower (Upper)</t>
  </si>
  <si>
    <t>Defeat the final boss and do nothing during the scripted window</t>
  </si>
  <si>
    <t>Clock Tower (Upper): Tarot : The Shadow AND Arcane Whip AND Double Jump AND Smash AND Aerial Rush (+ Main Hall access)</t>
  </si>
  <si>
    <t>Using The Self during the window</t>
  </si>
  <si>
    <t>True Ending</t>
  </si>
  <si>
    <t>MQ - Master's Quarter (Dracula)</t>
  </si>
  <si>
    <t>Defeat the final boss, then use the power of The Self during the scripted window</t>
  </si>
  <si>
    <t>Neutral Ending route AND Doppelganger (4 Virtues: The Warrior, The Whisperer, The Judge, The Sage + Notre-Dame access) AND Tarot : The Cursed AND Tarot : The Self (Absolution)</t>
  </si>
  <si>
    <t>The Self = upgrade of The Cursed (4 Virtue trials + Doppelganger)</t>
  </si>
  <si>
    <t>One range of 1000 IDs per category. Blue values are editable, range ends recompute.</t>
  </si>
  <si>
    <t>Start (items)</t>
  </si>
  <si>
    <t>End (items)</t>
  </si>
  <si>
    <t>Start (locations)</t>
  </si>
  <si>
    <t>End (locations)</t>
  </si>
  <si>
    <t>Progressive weapons: 7002029+</t>
  </si>
  <si>
    <t>Progressive Virtue 7007015; The Shadow Confronted, Mirror Kneel, 3 Mammon eyes 7007016-7007020 (locations 7107015-7107019)</t>
  </si>
  <si>
    <t>No locations</t>
  </si>
  <si>
    <t>Events (endings, victory)</t>
  </si>
  <si>
    <t>Can also use ID None</t>
  </si>
  <si>
    <t>One row per Work of Mercy. Each upgrade becomes a fixed item; it can arrive before its card.</t>
  </si>
  <si>
    <t>Card</t>
  </si>
  <si>
    <t>Challenge (condition)</t>
  </si>
  <si>
    <t>Upgrade 1</t>
  </si>
  <si>
    <t>Upgrade 2</t>
  </si>
  <si>
    <t>Upgrade 3</t>
  </si>
  <si>
    <t>Location (name)</t>
  </si>
  <si>
    <t>For the future enemy randomizer option.</t>
  </si>
  <si>
    <t>Enemy</t>
  </si>
  <si>
    <t>Areas where it appears</t>
  </si>
  <si>
    <t>Never randomized? ▼</t>
  </si>
  <si>
    <t>Why</t>
  </si>
  <si>
    <t>(name)</t>
  </si>
  <si>
    <t>Area, Area</t>
  </si>
  <si>
    <t>For traps.</t>
  </si>
  <si>
    <t>Status effect</t>
  </si>
  <si>
    <t>In-game effect</t>
  </si>
  <si>
    <t>Duration (s)</t>
  </si>
  <si>
    <t>Good trap? ▼</t>
  </si>
  <si>
    <t>Default weight (0-100)</t>
  </si>
  <si>
    <t>(e.g. Poison)</t>
  </si>
  <si>
    <t>(gradual HP loss)</t>
  </si>
  <si>
    <t>Burn</t>
  </si>
  <si>
    <t>Drains 1% of HP, 5 times per second for 3 seconds, 15% total. Cannot kill</t>
  </si>
  <si>
    <t>Bleed</t>
  </si>
  <si>
    <t>Drains 1% of HP, twice per second for 8 seconds, 16% total. Cannot kill</t>
  </si>
  <si>
    <t>Petrify</t>
  </si>
  <si>
    <t>Turns Rose to stone for 3 seconds max. Reduced by mashing button, each press of a button cutting 0.4 seconds</t>
  </si>
  <si>
    <t>Turned to gold</t>
  </si>
  <si>
    <t>Turns Rose to gold for 4 seconds. Afterwards 1 second of protection from it happening again</t>
  </si>
  <si>
    <t>Stun</t>
  </si>
  <si>
    <t>Rose is stunned for 3 seconds</t>
  </si>
  <si>
    <t>Plague</t>
  </si>
  <si>
    <t>Every hit deals 15% of HP bonus damage</t>
  </si>
  <si>
    <t>Unlock order when « Progressive Weapons » is on (tier 1 = received first).</t>
  </si>
  <si>
    <t>Group (weapon type)</t>
  </si>
  <si>
    <t>(e.g. Whips)</t>
  </si>
  <si>
    <t>(weakest weapon of the group)</t>
  </si>
  <si>
    <t>Whip group = progression: any whip breaks the Hall of Mirrors seals</t>
  </si>
  <si>
    <t>ND - Great Organ Room : Gold Chest</t>
  </si>
  <si>
    <t>CT - Builder's Bureau : Gold Chest</t>
  </si>
  <si>
    <t>HoM - Level Deviled : Gold Chest</t>
  </si>
  <si>
    <t>MH - Alucard's Tower : Gold Chest</t>
  </si>
  <si>
    <t>• Jeanne d'Arc and Aliénor d'Aquitaine keep their French names on purpose (client and AP messages). Please respect this little quirk of mine</t>
  </si>
  <si>
    <t>WOM - Cursed Flame 1</t>
  </si>
  <si>
    <t>WOM - Absolution 1</t>
  </si>
  <si>
    <t>WOM - Absolution 2</t>
  </si>
  <si>
    <t>WOM - Absolution 3</t>
  </si>
  <si>
    <t>WOM - Holy Cross 1</t>
  </si>
  <si>
    <t>WOM - Holy Cross 2</t>
  </si>
  <si>
    <t>WOM - Holy Cross 3</t>
  </si>
  <si>
    <t>WOM - Infernal Pyre 1</t>
  </si>
  <si>
    <t>WOM - Infernal Pyre 2</t>
  </si>
  <si>
    <t>WOM - Infernal Pyre 3</t>
  </si>
  <si>
    <t>WOM - Petrifying Gaze 1</t>
  </si>
  <si>
    <t>WOM - Petrifying Gaze 2</t>
  </si>
  <si>
    <t>WOM - Fist of Talos 1</t>
  </si>
  <si>
    <t>WOM - Fist of Talos 2</t>
  </si>
  <si>
    <t>WOM - Fist of Talos 3</t>
  </si>
  <si>
    <t>WOM - Masterpiece 1</t>
  </si>
  <si>
    <t>WOM - Masterpiece 2</t>
  </si>
  <si>
    <t>WOM - Masterpiece 3</t>
  </si>
  <si>
    <t>WOM - Soul Harvest 1</t>
  </si>
  <si>
    <t>WOM - Soul Harvest 2</t>
  </si>
  <si>
    <t>WOM - Soul Harvest 3</t>
  </si>
  <si>
    <t>WOM - Wheel of Chaos 1</t>
  </si>
  <si>
    <t>WOM - Wheel of Chaos 2</t>
  </si>
  <si>
    <t>WOM - Wheel of Chaos 3</t>
  </si>
  <si>
    <t>WOM - Freezing Path 1</t>
  </si>
  <si>
    <t>WOM - Freezing Path 2</t>
  </si>
  <si>
    <t>WOM - Chronomantic Dive 1</t>
  </si>
  <si>
    <t>WOM - Chronomantic Dive 2</t>
  </si>
  <si>
    <t>WOM - Life Drain 1</t>
  </si>
  <si>
    <t>WOM - Life Drain 2</t>
  </si>
  <si>
    <t>WOM - Life Drain 3</t>
  </si>
  <si>
    <t>WOM - Stained-Glass Shield 1</t>
  </si>
  <si>
    <t>WOM - Stained-Glass Shield 2</t>
  </si>
  <si>
    <t>WOM - Stained-Glass Shield 3</t>
  </si>
  <si>
    <t>WOM - Chains of Justice 1</t>
  </si>
  <si>
    <t>WOM - Chains of Justice 2</t>
  </si>
  <si>
    <t>WOM - Chains of Justice 3</t>
  </si>
  <si>
    <t>WOM - Mirror Walk 1</t>
  </si>
  <si>
    <t>WOM - Mirror Walk 2</t>
  </si>
  <si>
    <t>WOM - Mirror Walk 3</t>
  </si>
  <si>
    <t>Work of Mercy of Tarot : The Fallen</t>
  </si>
  <si>
    <t>Work of Mercy of Tarot : The Prophetess</t>
  </si>
  <si>
    <t>Work of Mercy of Tarot : The Occultist</t>
  </si>
  <si>
    <t>Work of Mercy of Tarot : The Zealot</t>
  </si>
  <si>
    <t>Work of Mercy of Tarot : The Brittle King</t>
  </si>
  <si>
    <t>Hit 20 times with this spell.</t>
  </si>
  <si>
    <t>Kill 4 enemies with one cast of this spell, 5 times.</t>
  </si>
  <si>
    <t>Explore 85% of the whole map.</t>
  </si>
  <si>
    <t>Heal back to full life using this spell 10 times.</t>
  </si>
  <si>
    <t>Find 3 different whip-type weapons.</t>
  </si>
  <si>
    <t>Kill 5 enemies with the same cross (not necessarily at the same time).</t>
  </si>
  <si>
    <t>Kill 10 enemies with a whip attack.</t>
  </si>
  <si>
    <t>Successfully parry 15 attacks with the Holy Light.</t>
  </si>
  <si>
    <t>Reach a sacred place so Joan can pray.</t>
  </si>
  <si>
    <t>Set 5 enemies on fire at the same time.</t>
  </si>
  <si>
    <t>Petrify an enemy carrying a shield with Medusa’s Spell. Not again, Perseus!</t>
  </si>
  <si>
    <t>Kill 25 enemies from fall damage directly after petrifying them in the air.</t>
  </si>
  <si>
    <t>Kill 3 enemies with one fist.</t>
  </si>
  <si>
    <t>Kill 15 enemies with the smash.</t>
  </si>
  <si>
    <t>Kill 30 enemies with the Gargoyle Dive.</t>
  </si>
  <si>
    <t>Cause 5 enemies to fall to their death with the Gargoyle Summoning Stone.</t>
  </si>
  <si>
    <t>Find all the secret zones in the Main Hall.</t>
  </si>
  <si>
    <t>Kill 25 enemies from bleed-effect damage.</t>
  </si>
  <si>
    <t>Find 2 different dual blade-type weapons.</t>
  </si>
  <si>
    <t>Cause an enemy to bleed continuously for 10 seconds.</t>
  </si>
  <si>
    <t>Complete the hidden puzzle in Notre Dame.</t>
  </si>
  <si>
    <t>Kill 44 skeletons (of any sort).</t>
  </si>
  <si>
    <t>Kill 4 enemies with the same cast of Death’s spell.</t>
  </si>
  <si>
    <t>Have the wheel spin for 15 seconds without interruption.</t>
  </si>
  <si>
    <t>Kill 5 different enemies with one wheel.</t>
  </si>
  <si>
    <t>Spend 1000 mana points on recasts of this spell.</t>
  </si>
  <si>
    <t>Kill 25 enemies by breaking them out of freeze.</t>
  </si>
  <si>
    <t>Pass through 5 enemies in 3 seconds.</t>
  </si>
  <si>
    <t>Kill 20 enemies while in slow motion.</t>
  </si>
  <si>
    <t>Explore all rooms of Clock Tower.</t>
  </si>
  <si>
    <t>Drain an enemy for 5 seconds straight without interruption.</t>
  </si>
  <si>
    <t>Explore all rooms of Hall of Mirrors.</t>
  </si>
  <si>
    <t>Kill 25 enemies with the life drain.</t>
  </si>
  <si>
    <t>Absorb an attack that would otherwise be fatal thanks to Arthur's spell.</t>
  </si>
  <si>
    <t>Kill 25 Haunted Armor.</t>
  </si>
  <si>
    <t>Kill 3 enemies with a single attack.</t>
  </si>
  <si>
    <t>Chain 4 enemies at once.</t>
  </si>
  <si>
    <t>Kill 25 chained enemies.</t>
  </si>
  <si>
    <t>Upgrade your maximum health and mana 5 times each.</t>
  </si>
  <si>
    <t>Use 34 Save Rooms.</t>
  </si>
  <si>
    <t>Heal 1000 of health with this spell.</t>
  </si>
  <si>
    <t>Kill 5 enemies within 3 seconds of dodging their attacks with teleportation.</t>
  </si>
  <si>
    <t>If the spell is cast while Rose is at full health, deals 50% more damage.</t>
  </si>
  <si>
    <t>If the spell hits only one target, ignites it.</t>
  </si>
  <si>
    <t>If the spell kills at least 4 enemies, heals Rose back to full health.</t>
  </si>
  <si>
    <t>You can throw a second cross.</t>
  </si>
  <si>
    <t>The cross inflicts more damage the farther it is from Rose.</t>
  </si>
  <si>
    <t>Catching the returning cross lets Rose regain 10% of the spell's mana cast for each time an enemy was hit, up to a maximum of 60%.</t>
  </si>
  <si>
    <t>Regain 25% of the spell's mana cost for each enemy hit by the central explosion, starting with the second enemy.</t>
  </si>
  <si>
    <t>Enemies hit by Joan's spell are thrown high in the air.</t>
  </si>
  <si>
    <t>Killing a petrified enemy restores a quantity of mana equivalent to half the cost of Medusa's spell.</t>
  </si>
  <si>
    <t>The closer the targets affected by this spell are to Rose, the longer they remain petrified, and the more hits it takes to break the petrification.</t>
  </si>
  <si>
    <t>The earthquake is more powerful and unleashes 1 second later.</t>
  </si>
  <si>
    <t>Summons an additional Gargoyle</t>
  </si>
  <si>
    <t>Rose heals every time the Gargoyle's fire ball hits an enemy.</t>
  </si>
  <si>
    <t>Killing at least one enemy with the Gargoyle Dive prevents the Gargoyle's destruction.</t>
  </si>
  <si>
    <t>Applying the bleeding effect to an already bleeding enemy deals instant damage to it.</t>
  </si>
  <si>
    <t>Heals Rose 2% of her max health every time an enemy dies from bleeding.</t>
  </si>
  <si>
    <t>Bleeding enemies are slower and deal 25% less damage to Rose.</t>
  </si>
  <si>
    <t>If this spell only hits one enemy, Rose heals 4% of her maximum health.</t>
  </si>
  <si>
    <t>If a sickle kills an enemy, it splits into 4 new sickles.</t>
  </si>
  <si>
    <t>Each sickle that hits an enemy restores 25% of the spell's mana cost.</t>
  </si>
  <si>
    <t>The spell can be cast using health if Rose does not have enough mana and will deal 50% more damage.</t>
  </si>
  <si>
    <t>Mammon's spell deals increased damage each time it is cast. This bonus resets if the spell is not recast while active.</t>
  </si>
  <si>
    <t>Every time the player recasts the spell, there is a 1/8 chance of triggering a random effect.</t>
  </si>
  <si>
    <t>At the end of the spell effect, a wave of frost bursts around Rose that freezes enemies within a radius of 5 meters.</t>
  </si>
  <si>
    <t>Passing through an enemy increases your speed by 10% for a maximum of 5 times. Can only trigger once on the same enemy.</t>
  </si>
  <si>
    <t>The time slow effect is longer.</t>
  </si>
  <si>
    <t>Creates a bigger explosion if Rose dives from a high enough position.</t>
  </si>
  <si>
    <t>The drain deals bonus damage if Rose is at full health when it ticks.</t>
  </si>
  <si>
    <t>Getting hit while holding this spell doesn't interrupt it.</t>
  </si>
  <si>
    <t>The spell targets the 2 nearest enemies instead of just one.</t>
  </si>
  <si>
    <t>The spell's magic shield can absorb 1 additional attacks before it breaks.</t>
  </si>
  <si>
    <t>Chained enemies are also rendered incapable of performing any action.</t>
  </si>
  <si>
    <t>Killing a chained target chains a nearby target.</t>
  </si>
  <si>
    <t>Chaining an enemy with less than 20% of their maximum health instantly kills them.</t>
  </si>
  <si>
    <t>If Rose uses teleportation without losing life since the mirror is placed, she regains 80% of the consumed mana.</t>
  </si>
  <si>
    <t>Rose deals significant damage to enemies in the path of the teleportation.</t>
  </si>
  <si>
    <t>Receiving a fatal blow while a mirror is active prevents death and activates teleportation. Can only be activated once but can recharged when Rose interacts with a Save Room.</t>
  </si>
  <si>
    <t>//</t>
  </si>
  <si>
    <t>Can be completed before getting the card</t>
  </si>
  <si>
    <t>WOM - Blood Spikes 1</t>
  </si>
  <si>
    <t>WOM - Blood Spikes 2</t>
  </si>
  <si>
    <t>WOM - Blood Spikes 3</t>
  </si>
  <si>
    <t>PS - Ruined Market : Silver Chest</t>
  </si>
  <si>
    <t>Other xlsx #9</t>
  </si>
  <si>
    <t>Other xlsx #118</t>
  </si>
  <si>
    <t>Other xlsx #117</t>
  </si>
  <si>
    <t>Other xlsx #25</t>
  </si>
  <si>
    <t>Tarot : The Self AND access to 85% of the map</t>
  </si>
  <si>
    <t>Tarot : The Fallen AND 3 differents whips OR Progressive Whip 3</t>
  </si>
  <si>
    <t>Tarot : The Fallen AND 1 whip OR Progressive Whip 1</t>
  </si>
  <si>
    <t>Tarot : The Warrior AND Holy Light</t>
  </si>
  <si>
    <t>Tarot : The Warrior AND access to Notre-Dame</t>
  </si>
  <si>
    <t>Tarot : The Builder AND Smash</t>
  </si>
  <si>
    <t>Tarot : The Artist AND all Main Hall sub-area prerequisites</t>
  </si>
  <si>
    <t>Tarot : The Occultist AND 2 differents dual blades OR Progressive Dual Blades 2</t>
  </si>
  <si>
    <t>Tarot : The Shadow AND access to Notre-Dame</t>
  </si>
  <si>
    <t>Tarot : The Zealot AND all Clock Tower sub-area prerequisites</t>
  </si>
  <si>
    <t>Tarot : The Temptress AND all Hall of Mirrors sub-area prerequisites</t>
  </si>
  <si>
    <t>Tarot : The Judge AND 20 Brave + 20 Wise Heart Fragments</t>
  </si>
  <si>
    <t>Tarot : The Sage AND access to all Mirror rooms</t>
  </si>
  <si>
    <t>Holy Light OR Double Jump OR Whip OR Thorn Whip OR Morning Star OR Vampire Killer OR Tarot : The Artist</t>
  </si>
  <si>
    <t>Oozing Eye AND Trembling Eye AND Thrilling Eye</t>
  </si>
  <si>
    <t>(all three equipped)</t>
  </si>
  <si>
    <t>Start 100 HP + 100 MP, +20 per full heart (4 fragments)</t>
  </si>
  <si>
    <t>Fires a bigger fireball that slightly pushes back its target.</t>
  </si>
  <si>
    <t>Hitting an enemy with a weapon prolongs the fire on them.</t>
  </si>
  <si>
    <t>The fist deals 75% more damage to enemies suffering from control effects.</t>
  </si>
  <si>
    <t>The fist is covered in damage-dealing spikes that hit enemies even after hitting the ground.</t>
  </si>
  <si>
    <t>Kill 10 airborne enemies with a fist as it falls down.</t>
  </si>
  <si>
    <t>Each time Rose takes damage (with or without an active magic shield), a shard of glass is launched at the nearest enemy.</t>
  </si>
  <si>
    <t>When Rose is struck during an attack damage received is reduced by 50% and her attack continues uninterrupted.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</si>
</sst>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family val="2"/>
      <charset val="1"/>
    </font>
    <font>
      <sz val="11"/>
      <color rgb="FF0000FF"/>
      <name val="Arial"/>
      <charset val="1"/>
    </font>
    <font>
      <sz val="11"/>
      <name val="Calibri"/>
      <family val="2"/>
      <charset val="1"/>
    </font>
    <font>
      <i/>
      <sz val="11"/>
      <color rgb="FF7F7F7F"/>
      <name val="Arial"/>
      <charset val="1"/>
    </font>
    <font>
      <sz val="11"/>
      <name val="Calibri"/>
      <family val="2"/>
    </font>
    <font>
      <sz val="12"/>
      <name val="Calibri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0" fontId="6" fillId="0" borderId="0" xfId="0" applyFont="1"/>
    <xf numFmtId="0" fontId="5" fillId="2" borderId="0" xfId="0" applyFont="1" applyFill="1" applyAlignment="1">
      <alignment vertical="center"/>
    </xf>
    <xf numFmtId="1" fontId="7" fillId="0" borderId="0" xfId="0" applyNumberFormat="1" applyFont="1"/>
    <xf numFmtId="0" fontId="8" fillId="0" borderId="0" xfId="0" applyFont="1"/>
    <xf numFmtId="1" fontId="2" fillId="0" borderId="0" xfId="0" applyNumberFormat="1" applyFont="1"/>
    <xf numFmtId="1" fontId="0" fillId="0" borderId="0" xfId="0" applyNumberFormat="1"/>
    <xf numFmtId="0" fontId="9" fillId="3" borderId="0" xfId="0" applyFont="1" applyFill="1"/>
    <xf numFmtId="0" fontId="9" fillId="3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11" fillId="0" borderId="0" xfId="0" applyFont="1"/>
    <xf numFmtId="1" fontId="11" fillId="0" borderId="0" xfId="0" applyNumberFormat="1" applyFont="1" applyAlignment="1">
      <alignment wrapText="1"/>
    </xf>
    <xf numFmtId="1" fontId="11" fillId="0" borderId="0" xfId="0" applyNumberFormat="1" applyFont="1"/>
    <xf numFmtId="0" fontId="10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opLeftCell="A12" zoomScaleNormal="100" workbookViewId="0">
      <selection activeCell="A46" sqref="A46"/>
    </sheetView>
  </sheetViews>
  <sheetFormatPr baseColWidth="10" defaultColWidth="8.7109375" defaultRowHeight="15" x14ac:dyDescent="0.25"/>
  <cols>
    <col min="1" max="1" width="130" style="1" customWidth="1"/>
  </cols>
  <sheetData>
    <row r="1" spans="1:1" ht="18" customHeight="1" x14ac:dyDescent="0.25">
      <c r="A1" s="2" t="s">
        <v>0</v>
      </c>
    </row>
    <row r="2" spans="1:1" ht="15" customHeight="1" x14ac:dyDescent="0.25">
      <c r="A2" s="3"/>
    </row>
    <row r="3" spans="1:1" ht="15" customHeight="1" x14ac:dyDescent="0.25">
      <c r="A3" s="4" t="s">
        <v>1</v>
      </c>
    </row>
    <row r="4" spans="1:1" ht="15" customHeight="1" x14ac:dyDescent="0.25">
      <c r="A4" s="3" t="s">
        <v>2</v>
      </c>
    </row>
    <row r="5" spans="1:1" ht="15" customHeight="1" x14ac:dyDescent="0.25">
      <c r="A5" s="3" t="s">
        <v>3</v>
      </c>
    </row>
    <row r="6" spans="1:1" ht="15" customHeight="1" x14ac:dyDescent="0.25">
      <c r="A6" s="3" t="s">
        <v>4</v>
      </c>
    </row>
    <row r="7" spans="1:1" ht="15" customHeight="1" x14ac:dyDescent="0.25">
      <c r="A7" s="3" t="s">
        <v>5</v>
      </c>
    </row>
    <row r="8" spans="1:1" ht="15" customHeight="1" x14ac:dyDescent="0.25">
      <c r="A8" s="3" t="s">
        <v>6</v>
      </c>
    </row>
    <row r="9" spans="1:1" ht="15" customHeight="1" x14ac:dyDescent="0.25">
      <c r="A9" s="3" t="s">
        <v>7</v>
      </c>
    </row>
    <row r="10" spans="1:1" ht="15" customHeight="1" x14ac:dyDescent="0.25">
      <c r="A10" s="3" t="s">
        <v>8</v>
      </c>
    </row>
    <row r="11" spans="1:1" ht="15" customHeight="1" x14ac:dyDescent="0.25">
      <c r="A11" s="3"/>
    </row>
    <row r="12" spans="1:1" ht="15" customHeight="1" x14ac:dyDescent="0.25">
      <c r="A12" s="4" t="s">
        <v>9</v>
      </c>
    </row>
    <row r="13" spans="1:1" ht="15" customHeight="1" x14ac:dyDescent="0.25">
      <c r="A13" s="3" t="s">
        <v>10</v>
      </c>
    </row>
    <row r="14" spans="1:1" ht="15" customHeight="1" x14ac:dyDescent="0.25">
      <c r="A14" s="3" t="s">
        <v>11</v>
      </c>
    </row>
    <row r="15" spans="1:1" ht="15" customHeight="1" x14ac:dyDescent="0.25">
      <c r="A15" s="3" t="s">
        <v>12</v>
      </c>
    </row>
    <row r="16" spans="1:1" ht="15" customHeight="1" x14ac:dyDescent="0.25">
      <c r="A16" s="3"/>
    </row>
    <row r="17" spans="1:1" ht="15" customHeight="1" x14ac:dyDescent="0.25">
      <c r="A17" s="5" t="s">
        <v>13</v>
      </c>
    </row>
    <row r="18" spans="1:1" ht="15" customHeight="1" x14ac:dyDescent="0.25">
      <c r="A18" s="6" t="s">
        <v>14</v>
      </c>
    </row>
    <row r="19" spans="1:1" ht="15" customHeight="1" x14ac:dyDescent="0.25">
      <c r="A19" s="6" t="s">
        <v>15</v>
      </c>
    </row>
    <row r="20" spans="1:1" ht="15" customHeight="1" x14ac:dyDescent="0.25">
      <c r="A20" s="6" t="s">
        <v>16</v>
      </c>
    </row>
    <row r="21" spans="1:1" ht="15" customHeight="1" x14ac:dyDescent="0.25">
      <c r="A21" s="6" t="s">
        <v>17</v>
      </c>
    </row>
    <row r="22" spans="1:1" ht="15" customHeight="1" x14ac:dyDescent="0.25">
      <c r="A22" s="6"/>
    </row>
    <row r="23" spans="1:1" ht="15" customHeight="1" x14ac:dyDescent="0.25">
      <c r="A23" s="5" t="s">
        <v>18</v>
      </c>
    </row>
    <row r="24" spans="1:1" ht="15" customHeight="1" x14ac:dyDescent="0.25">
      <c r="A24" s="6" t="s">
        <v>19</v>
      </c>
    </row>
    <row r="25" spans="1:1" ht="15" customHeight="1" x14ac:dyDescent="0.25">
      <c r="A25" s="6" t="s">
        <v>20</v>
      </c>
    </row>
    <row r="26" spans="1:1" ht="15" customHeight="1" x14ac:dyDescent="0.25">
      <c r="A26" s="6" t="s">
        <v>21</v>
      </c>
    </row>
    <row r="27" spans="1:1" ht="15" customHeight="1" x14ac:dyDescent="0.25">
      <c r="A27" s="6" t="s">
        <v>22</v>
      </c>
    </row>
    <row r="28" spans="1:1" ht="15" customHeight="1" x14ac:dyDescent="0.25">
      <c r="A28" s="6" t="s">
        <v>23</v>
      </c>
    </row>
    <row r="29" spans="1:1" ht="15" customHeight="1" x14ac:dyDescent="0.25">
      <c r="A29" s="6" t="s">
        <v>24</v>
      </c>
    </row>
    <row r="30" spans="1:1" ht="15" customHeight="1" x14ac:dyDescent="0.25">
      <c r="A30" s="6" t="s">
        <v>25</v>
      </c>
    </row>
    <row r="31" spans="1:1" ht="15" customHeight="1" x14ac:dyDescent="0.25">
      <c r="A31" s="6" t="s">
        <v>26</v>
      </c>
    </row>
    <row r="32" spans="1:1" ht="15" customHeight="1" x14ac:dyDescent="0.25">
      <c r="A32" s="6" t="s">
        <v>27</v>
      </c>
    </row>
    <row r="33" spans="1:1" ht="15" customHeight="1" x14ac:dyDescent="0.25">
      <c r="A33" s="6"/>
    </row>
    <row r="34" spans="1:1" ht="15" customHeight="1" x14ac:dyDescent="0.25">
      <c r="A34" s="5" t="s">
        <v>28</v>
      </c>
    </row>
    <row r="35" spans="1:1" ht="15" customHeight="1" x14ac:dyDescent="0.25">
      <c r="A35" s="6" t="s">
        <v>29</v>
      </c>
    </row>
    <row r="36" spans="1:1" ht="15" customHeight="1" x14ac:dyDescent="0.25">
      <c r="A36" s="6" t="s">
        <v>30</v>
      </c>
    </row>
    <row r="37" spans="1:1" ht="15" customHeight="1" x14ac:dyDescent="0.25">
      <c r="A37" s="6" t="s">
        <v>31</v>
      </c>
    </row>
    <row r="38" spans="1:1" ht="15" customHeight="1" x14ac:dyDescent="0.25">
      <c r="A38" s="6"/>
    </row>
    <row r="39" spans="1:1" ht="15" customHeight="1" x14ac:dyDescent="0.25">
      <c r="A39" s="5" t="s">
        <v>32</v>
      </c>
    </row>
    <row r="40" spans="1:1" ht="15" customHeight="1" x14ac:dyDescent="0.25">
      <c r="A40" s="6" t="s">
        <v>1453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1" sqref="B21"/>
    </sheetView>
  </sheetViews>
  <sheetFormatPr baseColWidth="10" defaultColWidth="8.7109375" defaultRowHeight="15" x14ac:dyDescent="0.25"/>
  <cols>
    <col min="1" max="1" width="26" customWidth="1"/>
    <col min="2" max="2" width="22" customWidth="1"/>
    <col min="3" max="3" width="14" customWidth="1"/>
    <col min="4" max="4" width="24" customWidth="1"/>
  </cols>
  <sheetData>
    <row r="1" spans="1:4" ht="15" customHeight="1" x14ac:dyDescent="0.25">
      <c r="A1" s="7" t="s">
        <v>33</v>
      </c>
    </row>
    <row r="2" spans="1:4" ht="31.5" customHeight="1" x14ac:dyDescent="0.25">
      <c r="A2" s="8" t="s">
        <v>34</v>
      </c>
      <c r="B2" s="8" t="s">
        <v>35</v>
      </c>
      <c r="C2" s="8" t="s">
        <v>36</v>
      </c>
      <c r="D2" s="8" t="s">
        <v>37</v>
      </c>
    </row>
    <row r="3" spans="1:4" ht="15" customHeight="1" x14ac:dyDescent="0.25">
      <c r="A3" s="6" t="s">
        <v>38</v>
      </c>
      <c r="B3" s="6">
        <f>SUMIFS(Items!$E$3:$E$399,Items!$B$3:$B$399,A3)</f>
        <v>42</v>
      </c>
      <c r="C3" s="6">
        <f>COUNTIF(Locations!$C$3:$C$498,A3)</f>
        <v>42</v>
      </c>
      <c r="D3" s="6">
        <f t="shared" ref="D3:D10" si="0">C3-B3</f>
        <v>0</v>
      </c>
    </row>
    <row r="4" spans="1:4" ht="15" customHeight="1" x14ac:dyDescent="0.25">
      <c r="A4" s="6" t="s">
        <v>39</v>
      </c>
      <c r="B4" s="6">
        <f>SUMIFS(Items!$E$3:$E$399,Items!$B$3:$B$399,A4)</f>
        <v>28</v>
      </c>
      <c r="C4" s="6">
        <f>COUNTIF(Locations!$C$3:$C$498,A4)</f>
        <v>28</v>
      </c>
      <c r="D4" s="6">
        <f t="shared" si="0"/>
        <v>0</v>
      </c>
    </row>
    <row r="5" spans="1:4" ht="15" customHeight="1" x14ac:dyDescent="0.25">
      <c r="A5" s="6" t="s">
        <v>40</v>
      </c>
      <c r="B5" s="6">
        <f>SUMIFS(Items!$E$3:$E$399,Items!$B$3:$B$399,A5)</f>
        <v>40</v>
      </c>
      <c r="C5" s="6">
        <f>COUNTIF(Locations!$C$3:$C$498,A5)</f>
        <v>40</v>
      </c>
      <c r="D5" s="6">
        <f t="shared" si="0"/>
        <v>0</v>
      </c>
    </row>
    <row r="6" spans="1:4" ht="15" customHeight="1" x14ac:dyDescent="0.25">
      <c r="A6" s="6" t="s">
        <v>41</v>
      </c>
      <c r="B6" s="6">
        <f>SUMIFS(Items!$E$3:$E$399,Items!$B$3:$B$399,A6)</f>
        <v>16</v>
      </c>
      <c r="C6" s="6">
        <f>COUNTIF(Locations!$C$3:$C$498,A6)</f>
        <v>16</v>
      </c>
      <c r="D6" s="6">
        <f t="shared" si="0"/>
        <v>0</v>
      </c>
    </row>
    <row r="7" spans="1:4" ht="15" customHeight="1" x14ac:dyDescent="0.25">
      <c r="A7" s="6" t="s">
        <v>42</v>
      </c>
      <c r="B7" s="6">
        <f>SUMIFS(Items!$E$3:$E$399,Items!$B$3:$B$399,A7)</f>
        <v>76</v>
      </c>
      <c r="C7" s="6">
        <f>COUNTIF(Locations!$C$3:$C$498,A7)</f>
        <v>76</v>
      </c>
      <c r="D7" s="6">
        <f t="shared" si="0"/>
        <v>0</v>
      </c>
    </row>
    <row r="8" spans="1:4" ht="15" customHeight="1" x14ac:dyDescent="0.25">
      <c r="A8" s="6" t="s">
        <v>43</v>
      </c>
      <c r="B8" s="6">
        <f>SUMIFS(Items!$E$3:$E$399,Items!$B$3:$B$399,A8)</f>
        <v>43</v>
      </c>
      <c r="C8" s="6">
        <f>COUNTIF(Locations!$C$3:$C$498,A8)</f>
        <v>43</v>
      </c>
      <c r="D8" s="6">
        <f t="shared" si="0"/>
        <v>0</v>
      </c>
    </row>
    <row r="9" spans="1:4" ht="15" customHeight="1" x14ac:dyDescent="0.25">
      <c r="A9" s="6" t="s">
        <v>44</v>
      </c>
      <c r="B9" s="6">
        <f>SUMIFS(Items!$E$3:$E$399,Items!$B$3:$B$399,A9)</f>
        <v>18</v>
      </c>
      <c r="C9" s="6">
        <f>COUNTIF(Locations!$C$3:$C$498,A9)</f>
        <v>18</v>
      </c>
      <c r="D9" s="6">
        <f t="shared" si="0"/>
        <v>0</v>
      </c>
    </row>
    <row r="10" spans="1:4" ht="15" customHeight="1" x14ac:dyDescent="0.25">
      <c r="A10" s="9" t="s">
        <v>45</v>
      </c>
      <c r="B10" s="6">
        <f>SUMIFS(Items!$E$3:$E$399,Items!$B$3:$B$399,A10)</f>
        <v>147</v>
      </c>
      <c r="C10" s="6">
        <f>COUNTIF(Locations!$C$3:$C$498,A10)</f>
        <v>147</v>
      </c>
      <c r="D10" s="6">
        <f t="shared" si="0"/>
        <v>0</v>
      </c>
    </row>
    <row r="11" spans="1:4" ht="15" customHeight="1" x14ac:dyDescent="0.25">
      <c r="A11" s="5" t="s">
        <v>46</v>
      </c>
      <c r="B11" s="5">
        <f>SUM(B3:B10)</f>
        <v>410</v>
      </c>
      <c r="C11" s="5">
        <f>SUM(C3:C10)</f>
        <v>410</v>
      </c>
      <c r="D11" s="5">
        <f>SUM(D3:D10)</f>
        <v>0</v>
      </c>
    </row>
    <row r="13" spans="1:4" ht="15" customHeight="1" x14ac:dyDescent="0.25">
      <c r="A13" s="7"/>
    </row>
  </sheetData>
  <autoFilter ref="A2:D5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6"/>
  <sheetViews>
    <sheetView zoomScaleNormal="100" workbookViewId="0">
      <pane xSplit="1" ySplit="2" topLeftCell="B135" activePane="bottomRight" state="frozen"/>
      <selection pane="topRight" activeCell="B1" sqref="B1"/>
      <selection pane="bottomLeft" activeCell="A83" sqref="A83"/>
      <selection pane="bottomRight" activeCell="G135" sqref="G135"/>
    </sheetView>
  </sheetViews>
  <sheetFormatPr baseColWidth="10" defaultColWidth="8.7109375" defaultRowHeight="15" x14ac:dyDescent="0.25"/>
  <cols>
    <col min="1" max="1" width="30" customWidth="1"/>
    <col min="2" max="2" width="22" customWidth="1"/>
    <col min="3" max="3" width="17.7109375" customWidth="1"/>
    <col min="4" max="4" width="5.28515625" customWidth="1"/>
    <col min="5" max="5" width="9.140625" customWidth="1"/>
    <col min="6" max="6" width="14.28515625" customWidth="1"/>
    <col min="7" max="8" width="40" style="1" customWidth="1"/>
    <col min="9" max="9" width="11.140625" style="1" customWidth="1"/>
    <col min="10" max="10" width="38.140625" style="1" customWidth="1"/>
    <col min="11" max="11" width="40" style="1" customWidth="1"/>
  </cols>
  <sheetData>
    <row r="1" spans="1:11" x14ac:dyDescent="0.25">
      <c r="A1" s="7" t="s">
        <v>47</v>
      </c>
    </row>
    <row r="2" spans="1:11" ht="45" x14ac:dyDescent="0.25">
      <c r="A2" s="8" t="s">
        <v>48</v>
      </c>
      <c r="B2" s="8" t="s">
        <v>49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54</v>
      </c>
      <c r="H2" s="8" t="s">
        <v>55</v>
      </c>
      <c r="I2" s="8" t="s">
        <v>56</v>
      </c>
      <c r="J2" s="8" t="s">
        <v>57</v>
      </c>
      <c r="K2" s="8" t="s">
        <v>58</v>
      </c>
    </row>
    <row r="3" spans="1:11" ht="15.75" x14ac:dyDescent="0.25">
      <c r="A3" t="s">
        <v>59</v>
      </c>
      <c r="B3" t="s">
        <v>38</v>
      </c>
      <c r="E3">
        <v>1</v>
      </c>
      <c r="F3" t="s">
        <v>60</v>
      </c>
      <c r="G3" s="1" t="s">
        <v>61</v>
      </c>
      <c r="H3" s="1" t="s">
        <v>62</v>
      </c>
      <c r="I3" s="22">
        <v>7001001</v>
      </c>
    </row>
    <row r="4" spans="1:11" ht="15.75" x14ac:dyDescent="0.25">
      <c r="A4" t="s">
        <v>63</v>
      </c>
      <c r="B4" t="s">
        <v>38</v>
      </c>
      <c r="E4">
        <v>1</v>
      </c>
      <c r="F4" t="s">
        <v>60</v>
      </c>
      <c r="G4" s="1" t="s">
        <v>64</v>
      </c>
      <c r="H4" s="1" t="s">
        <v>62</v>
      </c>
      <c r="I4" s="22">
        <v>7001002</v>
      </c>
    </row>
    <row r="5" spans="1:11" ht="15.75" x14ac:dyDescent="0.25">
      <c r="A5" t="s">
        <v>65</v>
      </c>
      <c r="B5" t="s">
        <v>38</v>
      </c>
      <c r="E5">
        <v>1</v>
      </c>
      <c r="F5" t="s">
        <v>60</v>
      </c>
      <c r="G5" s="1" t="s">
        <v>66</v>
      </c>
      <c r="H5" s="1" t="s">
        <v>62</v>
      </c>
      <c r="I5" s="22">
        <v>7001003</v>
      </c>
    </row>
    <row r="6" spans="1:11" ht="15.75" x14ac:dyDescent="0.25">
      <c r="A6" t="s">
        <v>67</v>
      </c>
      <c r="B6" t="s">
        <v>38</v>
      </c>
      <c r="E6">
        <v>1</v>
      </c>
      <c r="F6" t="s">
        <v>60</v>
      </c>
      <c r="G6" s="1" t="s">
        <v>68</v>
      </c>
      <c r="H6" s="1" t="s">
        <v>62</v>
      </c>
      <c r="I6" s="22">
        <v>7001004</v>
      </c>
    </row>
    <row r="7" spans="1:11" ht="15.75" x14ac:dyDescent="0.25">
      <c r="A7" t="s">
        <v>69</v>
      </c>
      <c r="B7" t="s">
        <v>38</v>
      </c>
      <c r="E7">
        <v>1</v>
      </c>
      <c r="F7" t="s">
        <v>60</v>
      </c>
      <c r="G7" s="1" t="s">
        <v>70</v>
      </c>
      <c r="H7" s="1" t="s">
        <v>62</v>
      </c>
      <c r="I7" s="22">
        <v>7001005</v>
      </c>
    </row>
    <row r="8" spans="1:11" ht="15.75" x14ac:dyDescent="0.25">
      <c r="A8" t="s">
        <v>71</v>
      </c>
      <c r="B8" t="s">
        <v>38</v>
      </c>
      <c r="E8">
        <v>1</v>
      </c>
      <c r="F8" t="s">
        <v>60</v>
      </c>
      <c r="G8" s="1" t="s">
        <v>72</v>
      </c>
      <c r="H8" s="1" t="s">
        <v>62</v>
      </c>
      <c r="I8" s="22">
        <v>7001006</v>
      </c>
    </row>
    <row r="9" spans="1:11" ht="15.75" x14ac:dyDescent="0.25">
      <c r="A9" t="s">
        <v>73</v>
      </c>
      <c r="B9" t="s">
        <v>38</v>
      </c>
      <c r="E9">
        <v>1</v>
      </c>
      <c r="F9" t="s">
        <v>60</v>
      </c>
      <c r="G9" s="1" t="s">
        <v>74</v>
      </c>
      <c r="H9" s="1" t="s">
        <v>62</v>
      </c>
      <c r="I9" s="22">
        <v>7001007</v>
      </c>
    </row>
    <row r="10" spans="1:11" ht="15.75" x14ac:dyDescent="0.25">
      <c r="A10" t="s">
        <v>75</v>
      </c>
      <c r="B10" t="s">
        <v>38</v>
      </c>
      <c r="E10">
        <v>1</v>
      </c>
      <c r="F10" t="s">
        <v>60</v>
      </c>
      <c r="G10" s="1" t="s">
        <v>76</v>
      </c>
      <c r="H10" s="1" t="s">
        <v>62</v>
      </c>
      <c r="I10" s="22">
        <v>7001008</v>
      </c>
    </row>
    <row r="11" spans="1:11" ht="30" x14ac:dyDescent="0.25">
      <c r="A11" t="s">
        <v>77</v>
      </c>
      <c r="B11" t="s">
        <v>38</v>
      </c>
      <c r="E11">
        <v>1</v>
      </c>
      <c r="F11" t="s">
        <v>60</v>
      </c>
      <c r="G11" s="1" t="s">
        <v>78</v>
      </c>
      <c r="H11" s="1" t="s">
        <v>62</v>
      </c>
      <c r="I11" s="22">
        <v>7001009</v>
      </c>
    </row>
    <row r="12" spans="1:11" ht="15.75" x14ac:dyDescent="0.25">
      <c r="A12" t="s">
        <v>79</v>
      </c>
      <c r="B12" t="s">
        <v>38</v>
      </c>
      <c r="E12">
        <v>1</v>
      </c>
      <c r="F12" t="s">
        <v>60</v>
      </c>
      <c r="G12" s="1" t="s">
        <v>80</v>
      </c>
      <c r="H12" s="1" t="s">
        <v>62</v>
      </c>
      <c r="I12" s="22">
        <v>7001010</v>
      </c>
    </row>
    <row r="13" spans="1:11" ht="15.75" x14ac:dyDescent="0.25">
      <c r="A13" t="s">
        <v>81</v>
      </c>
      <c r="B13" t="s">
        <v>38</v>
      </c>
      <c r="E13">
        <v>1</v>
      </c>
      <c r="F13" t="s">
        <v>60</v>
      </c>
      <c r="G13" s="1" t="s">
        <v>82</v>
      </c>
      <c r="H13" s="1" t="s">
        <v>62</v>
      </c>
      <c r="I13" s="22">
        <v>7001011</v>
      </c>
    </row>
    <row r="14" spans="1:11" ht="15.75" x14ac:dyDescent="0.25">
      <c r="A14" t="s">
        <v>83</v>
      </c>
      <c r="B14" t="s">
        <v>38</v>
      </c>
      <c r="E14">
        <v>1</v>
      </c>
      <c r="F14" t="s">
        <v>60</v>
      </c>
      <c r="G14" s="1" t="s">
        <v>84</v>
      </c>
      <c r="H14" s="1" t="s">
        <v>62</v>
      </c>
      <c r="I14" s="22">
        <v>7001012</v>
      </c>
    </row>
    <row r="15" spans="1:11" ht="15.75" x14ac:dyDescent="0.25">
      <c r="A15" t="s">
        <v>85</v>
      </c>
      <c r="B15" t="s">
        <v>38</v>
      </c>
      <c r="E15">
        <v>1</v>
      </c>
      <c r="F15" t="s">
        <v>60</v>
      </c>
      <c r="G15" s="1" t="s">
        <v>86</v>
      </c>
      <c r="H15" s="1" t="s">
        <v>62</v>
      </c>
      <c r="I15" s="22">
        <v>7001013</v>
      </c>
    </row>
    <row r="16" spans="1:11" ht="15.75" x14ac:dyDescent="0.25">
      <c r="A16" t="s">
        <v>87</v>
      </c>
      <c r="B16" t="s">
        <v>38</v>
      </c>
      <c r="E16">
        <v>1</v>
      </c>
      <c r="F16" t="s">
        <v>60</v>
      </c>
      <c r="G16" s="1" t="s">
        <v>88</v>
      </c>
      <c r="H16" s="1" t="s">
        <v>62</v>
      </c>
      <c r="I16" s="22">
        <v>7001014</v>
      </c>
    </row>
    <row r="17" spans="1:9" ht="15.75" x14ac:dyDescent="0.25">
      <c r="A17" t="s">
        <v>89</v>
      </c>
      <c r="B17" t="s">
        <v>38</v>
      </c>
      <c r="E17">
        <v>1</v>
      </c>
      <c r="F17" t="s">
        <v>60</v>
      </c>
      <c r="G17" s="1" t="s">
        <v>90</v>
      </c>
      <c r="H17" s="1" t="s">
        <v>62</v>
      </c>
      <c r="I17" s="22">
        <v>7001015</v>
      </c>
    </row>
    <row r="18" spans="1:9" ht="15.75" x14ac:dyDescent="0.25">
      <c r="A18" t="s">
        <v>91</v>
      </c>
      <c r="B18" t="s">
        <v>38</v>
      </c>
      <c r="E18">
        <v>1</v>
      </c>
      <c r="F18" t="s">
        <v>60</v>
      </c>
      <c r="G18" s="1" t="s">
        <v>92</v>
      </c>
      <c r="H18" s="1" t="s">
        <v>62</v>
      </c>
      <c r="I18" s="22">
        <v>7001016</v>
      </c>
    </row>
    <row r="19" spans="1:9" ht="15.75" x14ac:dyDescent="0.25">
      <c r="A19" t="s">
        <v>93</v>
      </c>
      <c r="B19" t="s">
        <v>38</v>
      </c>
      <c r="E19">
        <v>1</v>
      </c>
      <c r="F19" t="s">
        <v>60</v>
      </c>
      <c r="G19" s="1" t="s">
        <v>94</v>
      </c>
      <c r="H19" s="1" t="s">
        <v>62</v>
      </c>
      <c r="I19" s="22">
        <v>7001017</v>
      </c>
    </row>
    <row r="20" spans="1:9" ht="15.75" x14ac:dyDescent="0.25">
      <c r="A20" t="s">
        <v>95</v>
      </c>
      <c r="B20" t="s">
        <v>38</v>
      </c>
      <c r="E20">
        <v>1</v>
      </c>
      <c r="F20" t="s">
        <v>60</v>
      </c>
      <c r="G20" s="1" t="s">
        <v>96</v>
      </c>
      <c r="H20" s="1" t="s">
        <v>62</v>
      </c>
      <c r="I20" s="22">
        <v>7001018</v>
      </c>
    </row>
    <row r="21" spans="1:9" ht="15.75" x14ac:dyDescent="0.25">
      <c r="A21" t="s">
        <v>97</v>
      </c>
      <c r="B21" t="s">
        <v>38</v>
      </c>
      <c r="E21">
        <v>1</v>
      </c>
      <c r="F21" t="s">
        <v>60</v>
      </c>
      <c r="G21" s="1" t="s">
        <v>98</v>
      </c>
      <c r="H21" s="1" t="s">
        <v>62</v>
      </c>
      <c r="I21" s="22">
        <v>7001019</v>
      </c>
    </row>
    <row r="22" spans="1:9" ht="15.75" x14ac:dyDescent="0.25">
      <c r="A22" t="s">
        <v>99</v>
      </c>
      <c r="B22" t="s">
        <v>38</v>
      </c>
      <c r="E22">
        <v>1</v>
      </c>
      <c r="F22" t="s">
        <v>60</v>
      </c>
      <c r="G22" s="1" t="s">
        <v>100</v>
      </c>
      <c r="H22" s="1" t="s">
        <v>62</v>
      </c>
      <c r="I22" s="22">
        <v>7001020</v>
      </c>
    </row>
    <row r="23" spans="1:9" ht="15.75" x14ac:dyDescent="0.25">
      <c r="A23" t="s">
        <v>101</v>
      </c>
      <c r="B23" t="s">
        <v>38</v>
      </c>
      <c r="E23">
        <v>1</v>
      </c>
      <c r="F23" t="s">
        <v>60</v>
      </c>
      <c r="G23" s="1" t="s">
        <v>102</v>
      </c>
      <c r="H23" s="1" t="s">
        <v>62</v>
      </c>
      <c r="I23" s="22">
        <v>7001021</v>
      </c>
    </row>
    <row r="24" spans="1:9" ht="15.75" x14ac:dyDescent="0.25">
      <c r="A24" t="s">
        <v>103</v>
      </c>
      <c r="B24" t="s">
        <v>38</v>
      </c>
      <c r="E24">
        <v>1</v>
      </c>
      <c r="F24" t="s">
        <v>60</v>
      </c>
      <c r="G24" s="1" t="s">
        <v>104</v>
      </c>
      <c r="H24" s="1" t="s">
        <v>62</v>
      </c>
      <c r="I24" s="22">
        <v>7001022</v>
      </c>
    </row>
    <row r="25" spans="1:9" ht="15.75" x14ac:dyDescent="0.25">
      <c r="A25" t="s">
        <v>105</v>
      </c>
      <c r="B25" t="s">
        <v>38</v>
      </c>
      <c r="E25">
        <v>1</v>
      </c>
      <c r="F25" t="s">
        <v>60</v>
      </c>
      <c r="G25" s="1" t="s">
        <v>106</v>
      </c>
      <c r="H25" s="1" t="s">
        <v>62</v>
      </c>
      <c r="I25" s="22">
        <v>7001023</v>
      </c>
    </row>
    <row r="26" spans="1:9" ht="15.75" x14ac:dyDescent="0.25">
      <c r="A26" t="s">
        <v>107</v>
      </c>
      <c r="B26" t="s">
        <v>38</v>
      </c>
      <c r="E26">
        <v>1</v>
      </c>
      <c r="F26" t="s">
        <v>60</v>
      </c>
      <c r="G26" s="1" t="s">
        <v>108</v>
      </c>
      <c r="H26" s="1" t="s">
        <v>62</v>
      </c>
      <c r="I26" s="22">
        <v>7001024</v>
      </c>
    </row>
    <row r="27" spans="1:9" ht="15.75" x14ac:dyDescent="0.25">
      <c r="A27" t="s">
        <v>109</v>
      </c>
      <c r="B27" t="s">
        <v>38</v>
      </c>
      <c r="E27">
        <v>1</v>
      </c>
      <c r="F27" t="s">
        <v>60</v>
      </c>
      <c r="G27" s="1" t="s">
        <v>110</v>
      </c>
      <c r="H27" s="1" t="s">
        <v>62</v>
      </c>
      <c r="I27" s="22">
        <v>7001025</v>
      </c>
    </row>
    <row r="28" spans="1:9" ht="15.75" x14ac:dyDescent="0.25">
      <c r="A28" t="s">
        <v>111</v>
      </c>
      <c r="B28" t="s">
        <v>38</v>
      </c>
      <c r="E28">
        <v>1</v>
      </c>
      <c r="F28" t="s">
        <v>60</v>
      </c>
      <c r="G28" s="1" t="s">
        <v>112</v>
      </c>
      <c r="H28" s="1" t="s">
        <v>62</v>
      </c>
      <c r="I28" s="22">
        <v>7001026</v>
      </c>
    </row>
    <row r="29" spans="1:9" ht="15.75" x14ac:dyDescent="0.25">
      <c r="A29" t="s">
        <v>113</v>
      </c>
      <c r="B29" t="s">
        <v>38</v>
      </c>
      <c r="E29">
        <v>1</v>
      </c>
      <c r="F29" t="s">
        <v>60</v>
      </c>
      <c r="G29" s="1" t="s">
        <v>114</v>
      </c>
      <c r="H29" s="1" t="s">
        <v>62</v>
      </c>
      <c r="I29" s="22">
        <v>7001027</v>
      </c>
    </row>
    <row r="30" spans="1:9" ht="15.75" x14ac:dyDescent="0.25">
      <c r="A30" t="s">
        <v>115</v>
      </c>
      <c r="B30" t="s">
        <v>38</v>
      </c>
      <c r="E30">
        <v>1</v>
      </c>
      <c r="F30" t="s">
        <v>60</v>
      </c>
      <c r="G30" s="1" t="s">
        <v>116</v>
      </c>
      <c r="H30" s="1" t="s">
        <v>62</v>
      </c>
      <c r="I30" s="22">
        <v>7001028</v>
      </c>
    </row>
    <row r="31" spans="1:9" ht="15.75" x14ac:dyDescent="0.25">
      <c r="A31" t="s">
        <v>117</v>
      </c>
      <c r="B31" t="s">
        <v>38</v>
      </c>
      <c r="E31">
        <v>1</v>
      </c>
      <c r="F31" t="s">
        <v>60</v>
      </c>
      <c r="G31" s="1" t="s">
        <v>118</v>
      </c>
      <c r="H31" s="1" t="s">
        <v>62</v>
      </c>
      <c r="I31" s="22">
        <v>7001029</v>
      </c>
    </row>
    <row r="32" spans="1:9" ht="15.75" x14ac:dyDescent="0.25">
      <c r="A32" t="s">
        <v>119</v>
      </c>
      <c r="B32" t="s">
        <v>38</v>
      </c>
      <c r="E32">
        <v>1</v>
      </c>
      <c r="F32" t="s">
        <v>60</v>
      </c>
      <c r="G32" s="1" t="s">
        <v>120</v>
      </c>
      <c r="H32" s="1" t="s">
        <v>62</v>
      </c>
      <c r="I32" s="22">
        <v>7001030</v>
      </c>
    </row>
    <row r="33" spans="1:11" ht="15.75" x14ac:dyDescent="0.25">
      <c r="A33" t="s">
        <v>121</v>
      </c>
      <c r="B33" t="s">
        <v>38</v>
      </c>
      <c r="E33">
        <v>1</v>
      </c>
      <c r="F33" t="s">
        <v>60</v>
      </c>
      <c r="G33" s="1" t="s">
        <v>122</v>
      </c>
      <c r="H33" s="1" t="s">
        <v>62</v>
      </c>
      <c r="I33" s="22">
        <v>7001031</v>
      </c>
    </row>
    <row r="34" spans="1:11" ht="15.75" x14ac:dyDescent="0.25">
      <c r="A34" t="s">
        <v>123</v>
      </c>
      <c r="B34" t="s">
        <v>38</v>
      </c>
      <c r="E34">
        <v>1</v>
      </c>
      <c r="F34" t="s">
        <v>60</v>
      </c>
      <c r="G34" s="1" t="s">
        <v>124</v>
      </c>
      <c r="H34" s="1" t="s">
        <v>62</v>
      </c>
      <c r="I34" s="22">
        <v>7001032</v>
      </c>
    </row>
    <row r="35" spans="1:11" ht="15.75" x14ac:dyDescent="0.25">
      <c r="A35" t="s">
        <v>125</v>
      </c>
      <c r="B35" t="s">
        <v>38</v>
      </c>
      <c r="E35">
        <v>1</v>
      </c>
      <c r="F35" t="s">
        <v>60</v>
      </c>
      <c r="G35" s="1" t="s">
        <v>126</v>
      </c>
      <c r="H35" s="1" t="s">
        <v>62</v>
      </c>
      <c r="I35" s="22">
        <v>7001033</v>
      </c>
    </row>
    <row r="36" spans="1:11" ht="15.75" x14ac:dyDescent="0.25">
      <c r="A36" t="s">
        <v>127</v>
      </c>
      <c r="B36" t="s">
        <v>38</v>
      </c>
      <c r="E36">
        <v>1</v>
      </c>
      <c r="F36" t="s">
        <v>60</v>
      </c>
      <c r="G36" s="1" t="s">
        <v>128</v>
      </c>
      <c r="H36" s="1" t="s">
        <v>62</v>
      </c>
      <c r="I36" s="22">
        <v>7001034</v>
      </c>
    </row>
    <row r="37" spans="1:11" ht="15.75" x14ac:dyDescent="0.25">
      <c r="A37" t="s">
        <v>129</v>
      </c>
      <c r="B37" t="s">
        <v>38</v>
      </c>
      <c r="E37">
        <v>1</v>
      </c>
      <c r="F37" t="s">
        <v>60</v>
      </c>
      <c r="G37" s="1" t="s">
        <v>130</v>
      </c>
      <c r="H37" s="1" t="s">
        <v>62</v>
      </c>
      <c r="I37" s="22">
        <v>7001035</v>
      </c>
    </row>
    <row r="38" spans="1:11" ht="15.75" x14ac:dyDescent="0.25">
      <c r="A38" t="s">
        <v>131</v>
      </c>
      <c r="B38" t="s">
        <v>38</v>
      </c>
      <c r="E38">
        <v>1</v>
      </c>
      <c r="F38" t="s">
        <v>60</v>
      </c>
      <c r="G38" s="1" t="s">
        <v>132</v>
      </c>
      <c r="H38" s="1" t="s">
        <v>62</v>
      </c>
      <c r="I38" s="22">
        <v>7001036</v>
      </c>
    </row>
    <row r="39" spans="1:11" ht="30" x14ac:dyDescent="0.25">
      <c r="A39" t="s">
        <v>133</v>
      </c>
      <c r="B39" t="s">
        <v>38</v>
      </c>
      <c r="E39">
        <v>1</v>
      </c>
      <c r="F39" t="s">
        <v>60</v>
      </c>
      <c r="G39" s="1" t="s">
        <v>134</v>
      </c>
      <c r="H39" s="1" t="s">
        <v>62</v>
      </c>
      <c r="I39" s="22">
        <v>7001037</v>
      </c>
    </row>
    <row r="40" spans="1:11" ht="15.75" x14ac:dyDescent="0.25">
      <c r="A40" t="s">
        <v>135</v>
      </c>
      <c r="B40" t="s">
        <v>38</v>
      </c>
      <c r="E40">
        <v>1</v>
      </c>
      <c r="F40" t="s">
        <v>60</v>
      </c>
      <c r="G40" s="1" t="s">
        <v>136</v>
      </c>
      <c r="H40" s="1" t="s">
        <v>62</v>
      </c>
      <c r="I40" s="22">
        <v>7001038</v>
      </c>
    </row>
    <row r="41" spans="1:11" ht="15.75" x14ac:dyDescent="0.25">
      <c r="A41" t="s">
        <v>137</v>
      </c>
      <c r="B41" t="s">
        <v>38</v>
      </c>
      <c r="E41">
        <v>1</v>
      </c>
      <c r="F41" t="s">
        <v>60</v>
      </c>
      <c r="G41" s="1" t="s">
        <v>138</v>
      </c>
      <c r="H41" s="1" t="s">
        <v>62</v>
      </c>
      <c r="I41" s="22">
        <v>7001039</v>
      </c>
    </row>
    <row r="42" spans="1:11" ht="15.75" x14ac:dyDescent="0.25">
      <c r="A42" t="s">
        <v>139</v>
      </c>
      <c r="B42" t="s">
        <v>38</v>
      </c>
      <c r="E42">
        <v>1</v>
      </c>
      <c r="F42" t="s">
        <v>60</v>
      </c>
      <c r="G42" s="1" t="s">
        <v>140</v>
      </c>
      <c r="H42" s="1" t="s">
        <v>62</v>
      </c>
      <c r="I42" s="22">
        <v>7001040</v>
      </c>
    </row>
    <row r="43" spans="1:11" ht="15.75" x14ac:dyDescent="0.25">
      <c r="A43" t="s">
        <v>141</v>
      </c>
      <c r="B43" t="s">
        <v>38</v>
      </c>
      <c r="E43">
        <v>1</v>
      </c>
      <c r="F43" t="s">
        <v>60</v>
      </c>
      <c r="G43" s="1" t="s">
        <v>142</v>
      </c>
      <c r="H43" s="1" t="s">
        <v>62</v>
      </c>
      <c r="I43" s="22">
        <v>7001041</v>
      </c>
    </row>
    <row r="44" spans="1:11" ht="30" x14ac:dyDescent="0.25">
      <c r="A44" t="s">
        <v>143</v>
      </c>
      <c r="B44" t="s">
        <v>38</v>
      </c>
      <c r="E44">
        <v>1</v>
      </c>
      <c r="F44" t="s">
        <v>60</v>
      </c>
      <c r="G44" s="1" t="s">
        <v>144</v>
      </c>
      <c r="H44" s="1" t="s">
        <v>62</v>
      </c>
      <c r="I44" s="22">
        <v>7001042</v>
      </c>
      <c r="K44" s="1" t="s">
        <v>145</v>
      </c>
    </row>
    <row r="45" spans="1:11" ht="30" x14ac:dyDescent="0.25">
      <c r="A45" t="s">
        <v>146</v>
      </c>
      <c r="B45" t="s">
        <v>39</v>
      </c>
      <c r="C45" t="s">
        <v>146</v>
      </c>
      <c r="D45">
        <v>1</v>
      </c>
      <c r="E45">
        <v>1</v>
      </c>
      <c r="F45" t="s">
        <v>147</v>
      </c>
      <c r="G45" s="1" t="s">
        <v>148</v>
      </c>
      <c r="H45" s="1" t="s">
        <v>149</v>
      </c>
      <c r="I45" s="22">
        <v>7002001</v>
      </c>
    </row>
    <row r="46" spans="1:11" ht="30" x14ac:dyDescent="0.25">
      <c r="A46" t="s">
        <v>150</v>
      </c>
      <c r="B46" t="s">
        <v>39</v>
      </c>
      <c r="C46" t="s">
        <v>146</v>
      </c>
      <c r="D46">
        <v>2</v>
      </c>
      <c r="E46">
        <v>1</v>
      </c>
      <c r="F46" t="s">
        <v>147</v>
      </c>
      <c r="G46" s="1" t="s">
        <v>151</v>
      </c>
      <c r="H46" s="1" t="s">
        <v>149</v>
      </c>
      <c r="I46" s="22">
        <v>7002002</v>
      </c>
    </row>
    <row r="47" spans="1:11" ht="30" x14ac:dyDescent="0.25">
      <c r="A47" t="s">
        <v>152</v>
      </c>
      <c r="B47" t="s">
        <v>39</v>
      </c>
      <c r="C47" t="s">
        <v>146</v>
      </c>
      <c r="D47">
        <v>3</v>
      </c>
      <c r="E47">
        <v>1</v>
      </c>
      <c r="F47" t="s">
        <v>147</v>
      </c>
      <c r="G47" s="1" t="s">
        <v>153</v>
      </c>
      <c r="H47" s="1" t="s">
        <v>149</v>
      </c>
      <c r="I47" s="22">
        <v>7002003</v>
      </c>
    </row>
    <row r="48" spans="1:11" ht="30" x14ac:dyDescent="0.25">
      <c r="A48" t="s">
        <v>154</v>
      </c>
      <c r="B48" t="s">
        <v>39</v>
      </c>
      <c r="C48" t="s">
        <v>146</v>
      </c>
      <c r="D48">
        <v>4</v>
      </c>
      <c r="E48">
        <v>1</v>
      </c>
      <c r="F48" t="s">
        <v>147</v>
      </c>
      <c r="G48" s="1" t="s">
        <v>155</v>
      </c>
      <c r="H48" s="1" t="s">
        <v>149</v>
      </c>
      <c r="I48" s="22">
        <v>7002004</v>
      </c>
    </row>
    <row r="49" spans="1:11" ht="30" x14ac:dyDescent="0.25">
      <c r="A49" t="s">
        <v>156</v>
      </c>
      <c r="B49" t="s">
        <v>39</v>
      </c>
      <c r="C49" t="s">
        <v>157</v>
      </c>
      <c r="D49">
        <v>1</v>
      </c>
      <c r="E49">
        <v>1</v>
      </c>
      <c r="F49" t="s">
        <v>60</v>
      </c>
      <c r="G49" s="1" t="s">
        <v>158</v>
      </c>
      <c r="H49" s="1" t="s">
        <v>62</v>
      </c>
      <c r="I49" s="22">
        <v>7002005</v>
      </c>
      <c r="K49" s="1" t="s">
        <v>159</v>
      </c>
    </row>
    <row r="50" spans="1:11" ht="15.75" x14ac:dyDescent="0.25">
      <c r="A50" t="s">
        <v>160</v>
      </c>
      <c r="B50" t="s">
        <v>39</v>
      </c>
      <c r="C50" t="s">
        <v>157</v>
      </c>
      <c r="D50">
        <v>2</v>
      </c>
      <c r="E50">
        <v>1</v>
      </c>
      <c r="F50" t="s">
        <v>60</v>
      </c>
      <c r="G50" s="1" t="s">
        <v>161</v>
      </c>
      <c r="H50" s="1" t="s">
        <v>62</v>
      </c>
      <c r="I50" s="22">
        <v>7002006</v>
      </c>
    </row>
    <row r="51" spans="1:11" ht="15.75" x14ac:dyDescent="0.25">
      <c r="A51" t="s">
        <v>162</v>
      </c>
      <c r="B51" t="s">
        <v>39</v>
      </c>
      <c r="C51" t="s">
        <v>157</v>
      </c>
      <c r="D51">
        <v>3</v>
      </c>
      <c r="E51">
        <v>1</v>
      </c>
      <c r="F51" t="s">
        <v>60</v>
      </c>
      <c r="G51" s="1" t="s">
        <v>163</v>
      </c>
      <c r="H51" s="1" t="s">
        <v>62</v>
      </c>
      <c r="I51" s="22">
        <v>7002007</v>
      </c>
    </row>
    <row r="52" spans="1:11" ht="15.75" x14ac:dyDescent="0.25">
      <c r="A52" t="s">
        <v>164</v>
      </c>
      <c r="B52" t="s">
        <v>39</v>
      </c>
      <c r="C52" t="s">
        <v>157</v>
      </c>
      <c r="D52">
        <v>4</v>
      </c>
      <c r="E52">
        <v>1</v>
      </c>
      <c r="F52" t="s">
        <v>60</v>
      </c>
      <c r="G52" s="1" t="s">
        <v>165</v>
      </c>
      <c r="H52" s="1" t="s">
        <v>62</v>
      </c>
      <c r="I52" s="22">
        <v>7002008</v>
      </c>
    </row>
    <row r="53" spans="1:11" ht="30" x14ac:dyDescent="0.25">
      <c r="A53" t="s">
        <v>166</v>
      </c>
      <c r="B53" t="s">
        <v>39</v>
      </c>
      <c r="C53" t="s">
        <v>167</v>
      </c>
      <c r="D53">
        <v>1</v>
      </c>
      <c r="E53">
        <v>1</v>
      </c>
      <c r="F53" t="s">
        <v>60</v>
      </c>
      <c r="G53" s="1" t="s">
        <v>168</v>
      </c>
      <c r="H53" s="1" t="s">
        <v>62</v>
      </c>
      <c r="I53" s="22">
        <v>7002009</v>
      </c>
    </row>
    <row r="54" spans="1:11" ht="15.75" x14ac:dyDescent="0.25">
      <c r="A54" t="s">
        <v>169</v>
      </c>
      <c r="B54" t="s">
        <v>39</v>
      </c>
      <c r="C54" t="s">
        <v>167</v>
      </c>
      <c r="D54">
        <v>2</v>
      </c>
      <c r="E54">
        <v>1</v>
      </c>
      <c r="F54" t="s">
        <v>60</v>
      </c>
      <c r="G54" s="1" t="s">
        <v>170</v>
      </c>
      <c r="H54" s="1" t="s">
        <v>62</v>
      </c>
      <c r="I54" s="22">
        <v>7002010</v>
      </c>
    </row>
    <row r="55" spans="1:11" ht="15.75" x14ac:dyDescent="0.25">
      <c r="A55" t="s">
        <v>171</v>
      </c>
      <c r="B55" t="s">
        <v>39</v>
      </c>
      <c r="C55" t="s">
        <v>167</v>
      </c>
      <c r="D55">
        <v>3</v>
      </c>
      <c r="E55">
        <v>1</v>
      </c>
      <c r="F55" t="s">
        <v>60</v>
      </c>
      <c r="G55" s="1" t="s">
        <v>172</v>
      </c>
      <c r="H55" s="1" t="s">
        <v>62</v>
      </c>
      <c r="I55" s="22">
        <v>7002011</v>
      </c>
    </row>
    <row r="56" spans="1:11" ht="15.75" x14ac:dyDescent="0.25">
      <c r="A56" t="s">
        <v>173</v>
      </c>
      <c r="B56" t="s">
        <v>39</v>
      </c>
      <c r="C56" t="s">
        <v>167</v>
      </c>
      <c r="D56">
        <v>4</v>
      </c>
      <c r="E56">
        <v>1</v>
      </c>
      <c r="F56" t="s">
        <v>60</v>
      </c>
      <c r="G56" s="1" t="s">
        <v>174</v>
      </c>
      <c r="H56" s="1" t="s">
        <v>62</v>
      </c>
      <c r="I56" s="22">
        <v>7002012</v>
      </c>
    </row>
    <row r="57" spans="1:11" ht="15.75" x14ac:dyDescent="0.25">
      <c r="A57" t="s">
        <v>175</v>
      </c>
      <c r="B57" t="s">
        <v>39</v>
      </c>
      <c r="C57" t="s">
        <v>176</v>
      </c>
      <c r="D57">
        <v>1</v>
      </c>
      <c r="E57">
        <v>1</v>
      </c>
      <c r="F57" t="s">
        <v>60</v>
      </c>
      <c r="G57" s="1" t="s">
        <v>177</v>
      </c>
      <c r="H57" s="1" t="s">
        <v>62</v>
      </c>
      <c r="I57" s="22">
        <v>7002013</v>
      </c>
    </row>
    <row r="58" spans="1:11" ht="15.75" x14ac:dyDescent="0.25">
      <c r="A58" t="s">
        <v>178</v>
      </c>
      <c r="B58" t="s">
        <v>39</v>
      </c>
      <c r="C58" t="s">
        <v>176</v>
      </c>
      <c r="D58">
        <v>2</v>
      </c>
      <c r="E58">
        <v>1</v>
      </c>
      <c r="F58" t="s">
        <v>60</v>
      </c>
      <c r="G58" s="1" t="s">
        <v>179</v>
      </c>
      <c r="H58" s="1" t="s">
        <v>62</v>
      </c>
      <c r="I58" s="22">
        <v>7002014</v>
      </c>
    </row>
    <row r="59" spans="1:11" ht="15.75" x14ac:dyDescent="0.25">
      <c r="A59" t="s">
        <v>180</v>
      </c>
      <c r="B59" t="s">
        <v>39</v>
      </c>
      <c r="C59" t="s">
        <v>176</v>
      </c>
      <c r="D59">
        <v>3</v>
      </c>
      <c r="E59">
        <v>1</v>
      </c>
      <c r="F59" t="s">
        <v>60</v>
      </c>
      <c r="G59" s="1" t="s">
        <v>181</v>
      </c>
      <c r="H59" s="1" t="s">
        <v>62</v>
      </c>
      <c r="I59" s="22">
        <v>7002015</v>
      </c>
    </row>
    <row r="60" spans="1:11" ht="15.75" x14ac:dyDescent="0.25">
      <c r="A60" t="s">
        <v>182</v>
      </c>
      <c r="B60" t="s">
        <v>39</v>
      </c>
      <c r="C60" t="s">
        <v>176</v>
      </c>
      <c r="D60">
        <v>4</v>
      </c>
      <c r="E60">
        <v>1</v>
      </c>
      <c r="F60" t="s">
        <v>60</v>
      </c>
      <c r="G60" s="1" t="s">
        <v>183</v>
      </c>
      <c r="H60" s="1" t="s">
        <v>62</v>
      </c>
      <c r="I60" s="22">
        <v>7002016</v>
      </c>
    </row>
    <row r="61" spans="1:11" ht="15.75" x14ac:dyDescent="0.25">
      <c r="A61" t="s">
        <v>184</v>
      </c>
      <c r="B61" t="s">
        <v>39</v>
      </c>
      <c r="C61" t="s">
        <v>185</v>
      </c>
      <c r="D61">
        <v>1</v>
      </c>
      <c r="E61">
        <v>1</v>
      </c>
      <c r="F61" t="s">
        <v>60</v>
      </c>
      <c r="G61" s="1" t="s">
        <v>186</v>
      </c>
      <c r="H61" s="1" t="s">
        <v>62</v>
      </c>
      <c r="I61" s="22">
        <v>7002017</v>
      </c>
    </row>
    <row r="62" spans="1:11" ht="15.75" x14ac:dyDescent="0.25">
      <c r="A62" t="s">
        <v>187</v>
      </c>
      <c r="B62" t="s">
        <v>39</v>
      </c>
      <c r="C62" t="s">
        <v>185</v>
      </c>
      <c r="D62">
        <v>2</v>
      </c>
      <c r="E62">
        <v>1</v>
      </c>
      <c r="F62" t="s">
        <v>60</v>
      </c>
      <c r="G62" s="1" t="s">
        <v>188</v>
      </c>
      <c r="H62" s="1" t="s">
        <v>62</v>
      </c>
      <c r="I62" s="22">
        <v>7002018</v>
      </c>
    </row>
    <row r="63" spans="1:11" ht="30" x14ac:dyDescent="0.25">
      <c r="A63" t="s">
        <v>189</v>
      </c>
      <c r="B63" t="s">
        <v>39</v>
      </c>
      <c r="C63" t="s">
        <v>185</v>
      </c>
      <c r="D63">
        <v>3</v>
      </c>
      <c r="E63">
        <v>1</v>
      </c>
      <c r="F63" t="s">
        <v>60</v>
      </c>
      <c r="G63" s="1" t="s">
        <v>190</v>
      </c>
      <c r="H63" s="1" t="s">
        <v>62</v>
      </c>
      <c r="I63" s="22">
        <v>7002019</v>
      </c>
    </row>
    <row r="64" spans="1:11" ht="15.75" x14ac:dyDescent="0.25">
      <c r="A64" t="s">
        <v>191</v>
      </c>
      <c r="B64" t="s">
        <v>39</v>
      </c>
      <c r="C64" t="s">
        <v>185</v>
      </c>
      <c r="D64">
        <v>4</v>
      </c>
      <c r="E64">
        <v>1</v>
      </c>
      <c r="F64" t="s">
        <v>60</v>
      </c>
      <c r="G64" s="1" t="s">
        <v>192</v>
      </c>
      <c r="H64" s="1" t="s">
        <v>62</v>
      </c>
      <c r="I64" s="22">
        <v>7002020</v>
      </c>
    </row>
    <row r="65" spans="1:11" ht="15.75" x14ac:dyDescent="0.25">
      <c r="A65" t="s">
        <v>193</v>
      </c>
      <c r="B65" t="s">
        <v>39</v>
      </c>
      <c r="C65" t="s">
        <v>194</v>
      </c>
      <c r="D65">
        <v>1</v>
      </c>
      <c r="E65">
        <v>1</v>
      </c>
      <c r="F65" t="s">
        <v>60</v>
      </c>
      <c r="G65" s="1" t="s">
        <v>195</v>
      </c>
      <c r="H65" s="1" t="s">
        <v>62</v>
      </c>
      <c r="I65" s="22">
        <v>7002021</v>
      </c>
    </row>
    <row r="66" spans="1:11" ht="15.75" x14ac:dyDescent="0.25">
      <c r="A66" t="s">
        <v>196</v>
      </c>
      <c r="B66" t="s">
        <v>39</v>
      </c>
      <c r="C66" t="s">
        <v>194</v>
      </c>
      <c r="D66">
        <v>2</v>
      </c>
      <c r="E66">
        <v>1</v>
      </c>
      <c r="F66" t="s">
        <v>60</v>
      </c>
      <c r="G66" s="1" t="s">
        <v>197</v>
      </c>
      <c r="H66" s="1" t="s">
        <v>62</v>
      </c>
      <c r="I66" s="22">
        <v>7002022</v>
      </c>
    </row>
    <row r="67" spans="1:11" ht="15.75" x14ac:dyDescent="0.25">
      <c r="A67" t="s">
        <v>198</v>
      </c>
      <c r="B67" t="s">
        <v>39</v>
      </c>
      <c r="C67" t="s">
        <v>194</v>
      </c>
      <c r="D67">
        <v>3</v>
      </c>
      <c r="E67">
        <v>1</v>
      </c>
      <c r="F67" t="s">
        <v>60</v>
      </c>
      <c r="G67" s="1" t="s">
        <v>199</v>
      </c>
      <c r="H67" s="1" t="s">
        <v>62</v>
      </c>
      <c r="I67" s="22">
        <v>7002023</v>
      </c>
    </row>
    <row r="68" spans="1:11" ht="15.75" x14ac:dyDescent="0.25">
      <c r="A68" t="s">
        <v>200</v>
      </c>
      <c r="B68" t="s">
        <v>39</v>
      </c>
      <c r="C68" t="s">
        <v>194</v>
      </c>
      <c r="D68">
        <v>4</v>
      </c>
      <c r="E68">
        <v>1</v>
      </c>
      <c r="F68" t="s">
        <v>60</v>
      </c>
      <c r="G68" s="1" t="s">
        <v>201</v>
      </c>
      <c r="H68" s="1" t="s">
        <v>62</v>
      </c>
      <c r="I68" s="22">
        <v>7002024</v>
      </c>
    </row>
    <row r="69" spans="1:11" ht="30" x14ac:dyDescent="0.25">
      <c r="A69" t="s">
        <v>202</v>
      </c>
      <c r="B69" t="s">
        <v>39</v>
      </c>
      <c r="C69" t="s">
        <v>203</v>
      </c>
      <c r="D69">
        <v>1</v>
      </c>
      <c r="E69">
        <v>1</v>
      </c>
      <c r="F69" t="s">
        <v>60</v>
      </c>
      <c r="G69" s="1" t="s">
        <v>204</v>
      </c>
      <c r="H69" s="1" t="s">
        <v>62</v>
      </c>
      <c r="I69" s="22">
        <v>7002025</v>
      </c>
    </row>
    <row r="70" spans="1:11" ht="15.75" x14ac:dyDescent="0.25">
      <c r="A70" t="s">
        <v>205</v>
      </c>
      <c r="B70" t="s">
        <v>39</v>
      </c>
      <c r="C70" t="s">
        <v>203</v>
      </c>
      <c r="D70">
        <v>2</v>
      </c>
      <c r="E70">
        <v>1</v>
      </c>
      <c r="F70" t="s">
        <v>60</v>
      </c>
      <c r="G70" s="1" t="s">
        <v>206</v>
      </c>
      <c r="H70" s="1" t="s">
        <v>62</v>
      </c>
      <c r="I70" s="22">
        <v>7002026</v>
      </c>
    </row>
    <row r="71" spans="1:11" ht="15.75" x14ac:dyDescent="0.25">
      <c r="A71" t="s">
        <v>207</v>
      </c>
      <c r="B71" t="s">
        <v>39</v>
      </c>
      <c r="C71" t="s">
        <v>203</v>
      </c>
      <c r="D71">
        <v>3</v>
      </c>
      <c r="E71">
        <v>1</v>
      </c>
      <c r="F71" t="s">
        <v>60</v>
      </c>
      <c r="G71" s="1" t="s">
        <v>208</v>
      </c>
      <c r="H71" s="1" t="s">
        <v>62</v>
      </c>
      <c r="I71" s="22">
        <v>7002027</v>
      </c>
    </row>
    <row r="72" spans="1:11" ht="15.75" x14ac:dyDescent="0.25">
      <c r="A72" t="s">
        <v>209</v>
      </c>
      <c r="B72" t="s">
        <v>39</v>
      </c>
      <c r="C72" t="s">
        <v>203</v>
      </c>
      <c r="D72">
        <v>4</v>
      </c>
      <c r="E72">
        <v>1</v>
      </c>
      <c r="F72" t="s">
        <v>60</v>
      </c>
      <c r="G72" s="1" t="s">
        <v>210</v>
      </c>
      <c r="H72" s="1" t="s">
        <v>62</v>
      </c>
      <c r="I72" s="22">
        <v>7002028</v>
      </c>
    </row>
    <row r="73" spans="1:11" ht="30" x14ac:dyDescent="0.25">
      <c r="A73" s="12" t="s">
        <v>456</v>
      </c>
      <c r="B73" s="12" t="s">
        <v>39</v>
      </c>
      <c r="C73" s="12" t="s">
        <v>146</v>
      </c>
      <c r="D73" s="12"/>
      <c r="E73" s="12">
        <v>0</v>
      </c>
      <c r="F73" s="12" t="s">
        <v>147</v>
      </c>
      <c r="G73" s="12" t="s">
        <v>62</v>
      </c>
      <c r="H73" s="17" t="s">
        <v>149</v>
      </c>
      <c r="I73" s="21">
        <v>7002029</v>
      </c>
      <c r="J73" s="17"/>
      <c r="K73" s="17" t="s">
        <v>457</v>
      </c>
    </row>
    <row r="74" spans="1:11" ht="30" x14ac:dyDescent="0.25">
      <c r="A74" s="12" t="s">
        <v>458</v>
      </c>
      <c r="B74" s="12" t="s">
        <v>39</v>
      </c>
      <c r="C74" s="12" t="s">
        <v>157</v>
      </c>
      <c r="D74" s="12"/>
      <c r="E74" s="12">
        <v>0</v>
      </c>
      <c r="F74" s="12" t="s">
        <v>60</v>
      </c>
      <c r="G74" s="12" t="s">
        <v>62</v>
      </c>
      <c r="H74" s="17" t="s">
        <v>62</v>
      </c>
      <c r="I74" s="21">
        <v>7002030</v>
      </c>
      <c r="J74" s="17"/>
      <c r="K74" s="17" t="s">
        <v>457</v>
      </c>
    </row>
    <row r="75" spans="1:11" ht="30" x14ac:dyDescent="0.25">
      <c r="A75" s="12" t="s">
        <v>459</v>
      </c>
      <c r="B75" s="12" t="s">
        <v>39</v>
      </c>
      <c r="C75" s="12" t="s">
        <v>167</v>
      </c>
      <c r="D75" s="12"/>
      <c r="E75" s="12">
        <v>0</v>
      </c>
      <c r="F75" s="12" t="s">
        <v>60</v>
      </c>
      <c r="G75" s="12" t="s">
        <v>62</v>
      </c>
      <c r="H75" s="17" t="s">
        <v>62</v>
      </c>
      <c r="I75" s="21">
        <v>7002031</v>
      </c>
      <c r="J75" s="17"/>
      <c r="K75" s="17" t="s">
        <v>457</v>
      </c>
    </row>
    <row r="76" spans="1:11" ht="30" x14ac:dyDescent="0.25">
      <c r="A76" s="12" t="s">
        <v>460</v>
      </c>
      <c r="B76" s="12" t="s">
        <v>39</v>
      </c>
      <c r="C76" s="12" t="s">
        <v>176</v>
      </c>
      <c r="D76" s="12"/>
      <c r="E76" s="12">
        <v>0</v>
      </c>
      <c r="F76" s="12" t="s">
        <v>60</v>
      </c>
      <c r="G76" s="12" t="s">
        <v>62</v>
      </c>
      <c r="H76" s="17" t="s">
        <v>62</v>
      </c>
      <c r="I76" s="21">
        <v>7002032</v>
      </c>
      <c r="J76" s="17"/>
      <c r="K76" s="17" t="s">
        <v>457</v>
      </c>
    </row>
    <row r="77" spans="1:11" ht="30" x14ac:dyDescent="0.25">
      <c r="A77" s="12" t="s">
        <v>461</v>
      </c>
      <c r="B77" s="12" t="s">
        <v>39</v>
      </c>
      <c r="C77" s="12" t="s">
        <v>185</v>
      </c>
      <c r="D77" s="12"/>
      <c r="E77" s="12">
        <v>0</v>
      </c>
      <c r="F77" s="12" t="s">
        <v>60</v>
      </c>
      <c r="G77" s="12" t="s">
        <v>62</v>
      </c>
      <c r="H77" s="17" t="s">
        <v>62</v>
      </c>
      <c r="I77" s="21">
        <v>7002033</v>
      </c>
      <c r="J77" s="17"/>
      <c r="K77" s="17" t="s">
        <v>457</v>
      </c>
    </row>
    <row r="78" spans="1:11" ht="30" x14ac:dyDescent="0.25">
      <c r="A78" s="12" t="s">
        <v>462</v>
      </c>
      <c r="B78" s="12" t="s">
        <v>39</v>
      </c>
      <c r="C78" s="12" t="s">
        <v>194</v>
      </c>
      <c r="D78" s="12"/>
      <c r="E78" s="12">
        <v>0</v>
      </c>
      <c r="F78" s="12" t="s">
        <v>60</v>
      </c>
      <c r="G78" s="12" t="s">
        <v>62</v>
      </c>
      <c r="H78" s="17" t="s">
        <v>62</v>
      </c>
      <c r="I78" s="21">
        <v>7002034</v>
      </c>
      <c r="J78" s="17"/>
      <c r="K78" s="17" t="s">
        <v>457</v>
      </c>
    </row>
    <row r="79" spans="1:11" ht="30" x14ac:dyDescent="0.25">
      <c r="A79" s="12" t="s">
        <v>463</v>
      </c>
      <c r="B79" s="12" t="s">
        <v>39</v>
      </c>
      <c r="C79" s="12" t="s">
        <v>203</v>
      </c>
      <c r="D79" s="12"/>
      <c r="E79" s="12">
        <v>0</v>
      </c>
      <c r="F79" s="12" t="s">
        <v>60</v>
      </c>
      <c r="G79" s="12" t="s">
        <v>62</v>
      </c>
      <c r="H79" s="17" t="s">
        <v>62</v>
      </c>
      <c r="I79" s="21">
        <v>7002035</v>
      </c>
      <c r="J79" s="17"/>
      <c r="K79" s="17" t="s">
        <v>457</v>
      </c>
    </row>
    <row r="80" spans="1:11" ht="15.75" x14ac:dyDescent="0.25">
      <c r="A80" t="s">
        <v>211</v>
      </c>
      <c r="B80" t="s">
        <v>40</v>
      </c>
      <c r="E80">
        <v>1</v>
      </c>
      <c r="F80" t="s">
        <v>212</v>
      </c>
      <c r="G80" s="1" t="s">
        <v>213</v>
      </c>
      <c r="H80" s="1" t="s">
        <v>62</v>
      </c>
      <c r="I80" s="22">
        <v>7003001</v>
      </c>
      <c r="K80" s="1" t="s">
        <v>214</v>
      </c>
    </row>
    <row r="81" spans="1:9" ht="15.75" x14ac:dyDescent="0.25">
      <c r="A81" t="s">
        <v>215</v>
      </c>
      <c r="B81" t="s">
        <v>40</v>
      </c>
      <c r="E81">
        <v>1</v>
      </c>
      <c r="F81" t="s">
        <v>212</v>
      </c>
      <c r="G81" s="1" t="s">
        <v>216</v>
      </c>
      <c r="H81" s="1" t="s">
        <v>62</v>
      </c>
      <c r="I81" s="22">
        <v>7003002</v>
      </c>
    </row>
    <row r="82" spans="1:9" ht="15.75" x14ac:dyDescent="0.25">
      <c r="A82" t="s">
        <v>217</v>
      </c>
      <c r="B82" t="s">
        <v>40</v>
      </c>
      <c r="E82">
        <v>1</v>
      </c>
      <c r="F82" t="s">
        <v>212</v>
      </c>
      <c r="G82" s="1" t="s">
        <v>218</v>
      </c>
      <c r="H82" s="1" t="s">
        <v>62</v>
      </c>
      <c r="I82" s="22">
        <v>7003003</v>
      </c>
    </row>
    <row r="83" spans="1:9" ht="15.75" x14ac:dyDescent="0.25">
      <c r="A83" t="s">
        <v>219</v>
      </c>
      <c r="B83" t="s">
        <v>40</v>
      </c>
      <c r="E83">
        <v>1</v>
      </c>
      <c r="F83" t="s">
        <v>212</v>
      </c>
      <c r="G83" s="1" t="s">
        <v>220</v>
      </c>
      <c r="H83" s="1" t="s">
        <v>62</v>
      </c>
      <c r="I83" s="22">
        <v>7003004</v>
      </c>
    </row>
    <row r="84" spans="1:9" ht="15.75" x14ac:dyDescent="0.25">
      <c r="A84" t="s">
        <v>221</v>
      </c>
      <c r="B84" t="s">
        <v>40</v>
      </c>
      <c r="E84">
        <v>1</v>
      </c>
      <c r="F84" t="s">
        <v>212</v>
      </c>
      <c r="G84" s="1" t="s">
        <v>222</v>
      </c>
      <c r="H84" s="1" t="s">
        <v>62</v>
      </c>
      <c r="I84" s="22">
        <v>7003005</v>
      </c>
    </row>
    <row r="85" spans="1:9" ht="15.75" x14ac:dyDescent="0.25">
      <c r="A85" t="s">
        <v>223</v>
      </c>
      <c r="B85" t="s">
        <v>40</v>
      </c>
      <c r="E85">
        <v>1</v>
      </c>
      <c r="F85" t="s">
        <v>212</v>
      </c>
      <c r="G85" s="1" t="s">
        <v>224</v>
      </c>
      <c r="H85" s="1" t="s">
        <v>62</v>
      </c>
      <c r="I85" s="22">
        <v>7003006</v>
      </c>
    </row>
    <row r="86" spans="1:9" ht="15.75" x14ac:dyDescent="0.25">
      <c r="A86" t="s">
        <v>225</v>
      </c>
      <c r="B86" t="s">
        <v>40</v>
      </c>
      <c r="E86">
        <v>1</v>
      </c>
      <c r="F86" t="s">
        <v>212</v>
      </c>
      <c r="G86" s="1" t="s">
        <v>226</v>
      </c>
      <c r="H86" s="1" t="s">
        <v>62</v>
      </c>
      <c r="I86" s="22">
        <v>7003007</v>
      </c>
    </row>
    <row r="87" spans="1:9" ht="15.75" x14ac:dyDescent="0.25">
      <c r="A87" t="s">
        <v>227</v>
      </c>
      <c r="B87" t="s">
        <v>40</v>
      </c>
      <c r="E87">
        <v>1</v>
      </c>
      <c r="F87" t="s">
        <v>212</v>
      </c>
      <c r="G87" s="1" t="s">
        <v>228</v>
      </c>
      <c r="H87" s="1" t="s">
        <v>62</v>
      </c>
      <c r="I87" s="22">
        <v>7003008</v>
      </c>
    </row>
    <row r="88" spans="1:9" ht="15.75" x14ac:dyDescent="0.25">
      <c r="A88" t="s">
        <v>229</v>
      </c>
      <c r="B88" t="s">
        <v>40</v>
      </c>
      <c r="E88">
        <v>1</v>
      </c>
      <c r="F88" t="s">
        <v>212</v>
      </c>
      <c r="G88" s="1" t="s">
        <v>230</v>
      </c>
      <c r="H88" s="1" t="s">
        <v>62</v>
      </c>
      <c r="I88" s="22">
        <v>7003009</v>
      </c>
    </row>
    <row r="89" spans="1:9" ht="15.75" x14ac:dyDescent="0.25">
      <c r="A89" t="s">
        <v>231</v>
      </c>
      <c r="B89" t="s">
        <v>40</v>
      </c>
      <c r="E89">
        <v>1</v>
      </c>
      <c r="F89" t="s">
        <v>212</v>
      </c>
      <c r="G89" s="1" t="s">
        <v>232</v>
      </c>
      <c r="H89" s="1" t="s">
        <v>62</v>
      </c>
      <c r="I89" s="22">
        <v>7003010</v>
      </c>
    </row>
    <row r="90" spans="1:9" ht="15.75" x14ac:dyDescent="0.25">
      <c r="A90" t="s">
        <v>233</v>
      </c>
      <c r="B90" t="s">
        <v>40</v>
      </c>
      <c r="E90">
        <v>1</v>
      </c>
      <c r="F90" t="s">
        <v>212</v>
      </c>
      <c r="G90" s="1" t="s">
        <v>234</v>
      </c>
      <c r="H90" s="1" t="s">
        <v>62</v>
      </c>
      <c r="I90" s="22">
        <v>7003011</v>
      </c>
    </row>
    <row r="91" spans="1:9" ht="15.75" x14ac:dyDescent="0.25">
      <c r="A91" t="s">
        <v>235</v>
      </c>
      <c r="B91" t="s">
        <v>40</v>
      </c>
      <c r="E91">
        <v>1</v>
      </c>
      <c r="F91" t="s">
        <v>212</v>
      </c>
      <c r="G91" s="1" t="s">
        <v>236</v>
      </c>
      <c r="H91" s="1" t="s">
        <v>62</v>
      </c>
      <c r="I91" s="22">
        <v>7003012</v>
      </c>
    </row>
    <row r="92" spans="1:9" ht="15.75" x14ac:dyDescent="0.25">
      <c r="A92" t="s">
        <v>237</v>
      </c>
      <c r="B92" t="s">
        <v>40</v>
      </c>
      <c r="E92">
        <v>1</v>
      </c>
      <c r="F92" t="s">
        <v>212</v>
      </c>
      <c r="G92" s="1" t="s">
        <v>238</v>
      </c>
      <c r="H92" s="1" t="s">
        <v>62</v>
      </c>
      <c r="I92" s="22">
        <v>7003013</v>
      </c>
    </row>
    <row r="93" spans="1:9" ht="15.75" x14ac:dyDescent="0.25">
      <c r="A93" t="s">
        <v>239</v>
      </c>
      <c r="B93" t="s">
        <v>40</v>
      </c>
      <c r="E93">
        <v>1</v>
      </c>
      <c r="F93" t="s">
        <v>212</v>
      </c>
      <c r="G93" s="1" t="s">
        <v>240</v>
      </c>
      <c r="H93" s="1" t="s">
        <v>62</v>
      </c>
      <c r="I93" s="22">
        <v>7003014</v>
      </c>
    </row>
    <row r="94" spans="1:9" ht="15.75" x14ac:dyDescent="0.25">
      <c r="A94" t="s">
        <v>241</v>
      </c>
      <c r="B94" t="s">
        <v>40</v>
      </c>
      <c r="E94">
        <v>1</v>
      </c>
      <c r="F94" t="s">
        <v>212</v>
      </c>
      <c r="G94" s="1" t="s">
        <v>242</v>
      </c>
      <c r="H94" s="1" t="s">
        <v>62</v>
      </c>
      <c r="I94" s="22">
        <v>7003015</v>
      </c>
    </row>
    <row r="95" spans="1:9" ht="15.75" x14ac:dyDescent="0.25">
      <c r="A95" t="s">
        <v>243</v>
      </c>
      <c r="B95" t="s">
        <v>40</v>
      </c>
      <c r="E95">
        <v>1</v>
      </c>
      <c r="F95" t="s">
        <v>212</v>
      </c>
      <c r="G95" s="1" t="s">
        <v>244</v>
      </c>
      <c r="H95" s="1" t="s">
        <v>62</v>
      </c>
      <c r="I95" s="22">
        <v>7003016</v>
      </c>
    </row>
    <row r="96" spans="1:9" ht="15.75" x14ac:dyDescent="0.25">
      <c r="A96" t="s">
        <v>245</v>
      </c>
      <c r="B96" t="s">
        <v>40</v>
      </c>
      <c r="E96">
        <v>1</v>
      </c>
      <c r="F96" t="s">
        <v>212</v>
      </c>
      <c r="G96" s="1" t="s">
        <v>246</v>
      </c>
      <c r="H96" s="1" t="s">
        <v>62</v>
      </c>
      <c r="I96" s="22">
        <v>7003017</v>
      </c>
    </row>
    <row r="97" spans="1:9" ht="15.75" x14ac:dyDescent="0.25">
      <c r="A97" t="s">
        <v>247</v>
      </c>
      <c r="B97" t="s">
        <v>40</v>
      </c>
      <c r="E97">
        <v>1</v>
      </c>
      <c r="F97" t="s">
        <v>212</v>
      </c>
      <c r="G97" s="1" t="s">
        <v>248</v>
      </c>
      <c r="H97" s="1" t="s">
        <v>62</v>
      </c>
      <c r="I97" s="22">
        <v>7003018</v>
      </c>
    </row>
    <row r="98" spans="1:9" ht="15.75" x14ac:dyDescent="0.25">
      <c r="A98" t="s">
        <v>249</v>
      </c>
      <c r="B98" t="s">
        <v>40</v>
      </c>
      <c r="E98">
        <v>1</v>
      </c>
      <c r="F98" t="s">
        <v>212</v>
      </c>
      <c r="G98" s="1" t="s">
        <v>250</v>
      </c>
      <c r="H98" s="1" t="s">
        <v>62</v>
      </c>
      <c r="I98" s="22">
        <v>7003019</v>
      </c>
    </row>
    <row r="99" spans="1:9" ht="15.75" x14ac:dyDescent="0.25">
      <c r="A99" t="s">
        <v>251</v>
      </c>
      <c r="B99" t="s">
        <v>40</v>
      </c>
      <c r="E99">
        <v>1</v>
      </c>
      <c r="F99" t="s">
        <v>212</v>
      </c>
      <c r="G99" s="1" t="s">
        <v>252</v>
      </c>
      <c r="H99" s="1" t="s">
        <v>62</v>
      </c>
      <c r="I99" s="22">
        <v>7003020</v>
      </c>
    </row>
    <row r="100" spans="1:9" ht="15.75" x14ac:dyDescent="0.25">
      <c r="A100" t="s">
        <v>253</v>
      </c>
      <c r="B100" t="s">
        <v>40</v>
      </c>
      <c r="E100">
        <v>1</v>
      </c>
      <c r="F100" t="s">
        <v>212</v>
      </c>
      <c r="G100" s="1" t="s">
        <v>254</v>
      </c>
      <c r="H100" s="1" t="s">
        <v>62</v>
      </c>
      <c r="I100" s="22">
        <v>7003021</v>
      </c>
    </row>
    <row r="101" spans="1:9" ht="15.75" x14ac:dyDescent="0.25">
      <c r="A101" t="s">
        <v>255</v>
      </c>
      <c r="B101" t="s">
        <v>40</v>
      </c>
      <c r="E101">
        <v>1</v>
      </c>
      <c r="F101" t="s">
        <v>212</v>
      </c>
      <c r="G101" s="1" t="s">
        <v>256</v>
      </c>
      <c r="H101" s="1" t="s">
        <v>62</v>
      </c>
      <c r="I101" s="22">
        <v>7003022</v>
      </c>
    </row>
    <row r="102" spans="1:9" ht="15.75" x14ac:dyDescent="0.25">
      <c r="A102" t="s">
        <v>257</v>
      </c>
      <c r="B102" t="s">
        <v>40</v>
      </c>
      <c r="E102">
        <v>1</v>
      </c>
      <c r="F102" t="s">
        <v>212</v>
      </c>
      <c r="G102" s="1" t="s">
        <v>258</v>
      </c>
      <c r="H102" s="1" t="s">
        <v>62</v>
      </c>
      <c r="I102" s="22">
        <v>7003023</v>
      </c>
    </row>
    <row r="103" spans="1:9" ht="15.75" x14ac:dyDescent="0.25">
      <c r="A103" t="s">
        <v>259</v>
      </c>
      <c r="B103" t="s">
        <v>40</v>
      </c>
      <c r="E103">
        <v>1</v>
      </c>
      <c r="F103" t="s">
        <v>212</v>
      </c>
      <c r="G103" s="1" t="s">
        <v>260</v>
      </c>
      <c r="H103" s="1" t="s">
        <v>62</v>
      </c>
      <c r="I103" s="22">
        <v>7003024</v>
      </c>
    </row>
    <row r="104" spans="1:9" ht="15.75" x14ac:dyDescent="0.25">
      <c r="A104" t="s">
        <v>261</v>
      </c>
      <c r="B104" t="s">
        <v>40</v>
      </c>
      <c r="E104">
        <v>1</v>
      </c>
      <c r="F104" t="s">
        <v>212</v>
      </c>
      <c r="G104" s="1" t="s">
        <v>262</v>
      </c>
      <c r="H104" s="1" t="s">
        <v>62</v>
      </c>
      <c r="I104" s="22">
        <v>7003025</v>
      </c>
    </row>
    <row r="105" spans="1:9" ht="15.75" x14ac:dyDescent="0.25">
      <c r="A105" t="s">
        <v>263</v>
      </c>
      <c r="B105" t="s">
        <v>40</v>
      </c>
      <c r="E105">
        <v>1</v>
      </c>
      <c r="F105" t="s">
        <v>212</v>
      </c>
      <c r="G105" s="1" t="s">
        <v>264</v>
      </c>
      <c r="H105" s="1" t="s">
        <v>62</v>
      </c>
      <c r="I105" s="22">
        <v>7003026</v>
      </c>
    </row>
    <row r="106" spans="1:9" ht="15.75" x14ac:dyDescent="0.25">
      <c r="A106" t="s">
        <v>265</v>
      </c>
      <c r="B106" t="s">
        <v>40</v>
      </c>
      <c r="E106">
        <v>1</v>
      </c>
      <c r="F106" t="s">
        <v>212</v>
      </c>
      <c r="G106" s="1" t="s">
        <v>266</v>
      </c>
      <c r="H106" s="1" t="s">
        <v>62</v>
      </c>
      <c r="I106" s="22">
        <v>7003027</v>
      </c>
    </row>
    <row r="107" spans="1:9" ht="15.75" x14ac:dyDescent="0.25">
      <c r="A107" t="s">
        <v>267</v>
      </c>
      <c r="B107" t="s">
        <v>40</v>
      </c>
      <c r="E107">
        <v>1</v>
      </c>
      <c r="F107" t="s">
        <v>212</v>
      </c>
      <c r="G107" s="1" t="s">
        <v>268</v>
      </c>
      <c r="H107" s="1" t="s">
        <v>62</v>
      </c>
      <c r="I107" s="22">
        <v>7003028</v>
      </c>
    </row>
    <row r="108" spans="1:9" ht="15.75" x14ac:dyDescent="0.25">
      <c r="A108" t="s">
        <v>269</v>
      </c>
      <c r="B108" t="s">
        <v>40</v>
      </c>
      <c r="E108">
        <v>1</v>
      </c>
      <c r="F108" t="s">
        <v>212</v>
      </c>
      <c r="G108" s="1" t="s">
        <v>270</v>
      </c>
      <c r="H108" s="1" t="s">
        <v>62</v>
      </c>
      <c r="I108" s="22">
        <v>7003029</v>
      </c>
    </row>
    <row r="109" spans="1:9" ht="15.75" x14ac:dyDescent="0.25">
      <c r="A109" t="s">
        <v>271</v>
      </c>
      <c r="B109" t="s">
        <v>40</v>
      </c>
      <c r="E109">
        <v>1</v>
      </c>
      <c r="F109" t="s">
        <v>212</v>
      </c>
      <c r="G109" s="1" t="s">
        <v>272</v>
      </c>
      <c r="H109" s="1" t="s">
        <v>62</v>
      </c>
      <c r="I109" s="22">
        <v>7003030</v>
      </c>
    </row>
    <row r="110" spans="1:9" ht="15.75" x14ac:dyDescent="0.25">
      <c r="A110" t="s">
        <v>273</v>
      </c>
      <c r="B110" t="s">
        <v>40</v>
      </c>
      <c r="E110">
        <v>1</v>
      </c>
      <c r="F110" t="s">
        <v>212</v>
      </c>
      <c r="G110" s="1" t="s">
        <v>274</v>
      </c>
      <c r="H110" s="1" t="s">
        <v>62</v>
      </c>
      <c r="I110" s="22">
        <v>7003031</v>
      </c>
    </row>
    <row r="111" spans="1:9" ht="15.75" x14ac:dyDescent="0.25">
      <c r="A111" t="s">
        <v>275</v>
      </c>
      <c r="B111" t="s">
        <v>40</v>
      </c>
      <c r="E111">
        <v>1</v>
      </c>
      <c r="F111" t="s">
        <v>212</v>
      </c>
      <c r="G111" s="1" t="s">
        <v>276</v>
      </c>
      <c r="H111" s="1" t="s">
        <v>62</v>
      </c>
      <c r="I111" s="22">
        <v>7003032</v>
      </c>
    </row>
    <row r="112" spans="1:9" ht="15.75" x14ac:dyDescent="0.25">
      <c r="A112" t="s">
        <v>277</v>
      </c>
      <c r="B112" t="s">
        <v>40</v>
      </c>
      <c r="E112">
        <v>1</v>
      </c>
      <c r="F112" t="s">
        <v>212</v>
      </c>
      <c r="G112" s="1" t="s">
        <v>278</v>
      </c>
      <c r="H112" s="1" t="s">
        <v>62</v>
      </c>
      <c r="I112" s="22">
        <v>7003033</v>
      </c>
    </row>
    <row r="113" spans="1:11" ht="15.75" x14ac:dyDescent="0.25">
      <c r="A113" t="s">
        <v>279</v>
      </c>
      <c r="B113" t="s">
        <v>40</v>
      </c>
      <c r="E113">
        <v>1</v>
      </c>
      <c r="F113" t="s">
        <v>212</v>
      </c>
      <c r="G113" s="1" t="s">
        <v>280</v>
      </c>
      <c r="H113" s="1" t="s">
        <v>62</v>
      </c>
      <c r="I113" s="22">
        <v>7003034</v>
      </c>
    </row>
    <row r="114" spans="1:11" ht="15.75" x14ac:dyDescent="0.25">
      <c r="A114" t="s">
        <v>281</v>
      </c>
      <c r="B114" t="s">
        <v>40</v>
      </c>
      <c r="E114">
        <v>1</v>
      </c>
      <c r="F114" t="s">
        <v>212</v>
      </c>
      <c r="G114" s="1" t="s">
        <v>282</v>
      </c>
      <c r="H114" s="1" t="s">
        <v>62</v>
      </c>
      <c r="I114" s="22">
        <v>7003035</v>
      </c>
    </row>
    <row r="115" spans="1:11" ht="15.75" x14ac:dyDescent="0.25">
      <c r="A115" t="s">
        <v>283</v>
      </c>
      <c r="B115" t="s">
        <v>40</v>
      </c>
      <c r="E115">
        <v>1</v>
      </c>
      <c r="F115" t="s">
        <v>212</v>
      </c>
      <c r="G115" s="1" t="s">
        <v>284</v>
      </c>
      <c r="H115" s="1" t="s">
        <v>62</v>
      </c>
      <c r="I115" s="22">
        <v>7003036</v>
      </c>
    </row>
    <row r="116" spans="1:11" ht="15.75" x14ac:dyDescent="0.25">
      <c r="A116" t="s">
        <v>285</v>
      </c>
      <c r="B116" t="s">
        <v>40</v>
      </c>
      <c r="E116">
        <v>1</v>
      </c>
      <c r="F116" t="s">
        <v>212</v>
      </c>
      <c r="G116" s="1" t="s">
        <v>286</v>
      </c>
      <c r="H116" s="1" t="s">
        <v>62</v>
      </c>
      <c r="I116" s="22">
        <v>7003037</v>
      </c>
    </row>
    <row r="117" spans="1:11" ht="15.75" x14ac:dyDescent="0.25">
      <c r="A117" t="s">
        <v>287</v>
      </c>
      <c r="B117" t="s">
        <v>40</v>
      </c>
      <c r="E117">
        <v>1</v>
      </c>
      <c r="F117" t="s">
        <v>212</v>
      </c>
      <c r="G117" s="1" t="s">
        <v>288</v>
      </c>
      <c r="H117" s="1" t="s">
        <v>62</v>
      </c>
      <c r="I117" s="22">
        <v>7003038</v>
      </c>
    </row>
    <row r="118" spans="1:11" ht="15.75" x14ac:dyDescent="0.25">
      <c r="A118" t="s">
        <v>289</v>
      </c>
      <c r="B118" t="s">
        <v>40</v>
      </c>
      <c r="E118">
        <v>1</v>
      </c>
      <c r="F118" t="s">
        <v>212</v>
      </c>
      <c r="G118" s="1" t="s">
        <v>290</v>
      </c>
      <c r="H118" s="1" t="s">
        <v>62</v>
      </c>
      <c r="I118" s="22">
        <v>7003039</v>
      </c>
    </row>
    <row r="119" spans="1:11" ht="15.75" x14ac:dyDescent="0.25">
      <c r="A119" t="s">
        <v>291</v>
      </c>
      <c r="B119" t="s">
        <v>40</v>
      </c>
      <c r="E119">
        <v>1</v>
      </c>
      <c r="F119" t="s">
        <v>212</v>
      </c>
      <c r="G119" s="1" t="s">
        <v>292</v>
      </c>
      <c r="H119" s="1" t="s">
        <v>62</v>
      </c>
      <c r="I119" s="22">
        <v>7003040</v>
      </c>
    </row>
    <row r="120" spans="1:11" ht="30" x14ac:dyDescent="0.25">
      <c r="A120" t="s">
        <v>293</v>
      </c>
      <c r="B120" t="s">
        <v>41</v>
      </c>
      <c r="E120">
        <v>1</v>
      </c>
      <c r="F120" t="s">
        <v>147</v>
      </c>
      <c r="G120" s="1" t="s">
        <v>294</v>
      </c>
      <c r="H120" s="1" t="s">
        <v>62</v>
      </c>
      <c r="I120" s="22">
        <v>7004001</v>
      </c>
      <c r="K120" s="1" t="s">
        <v>295</v>
      </c>
    </row>
    <row r="121" spans="1:11" ht="45" x14ac:dyDescent="0.25">
      <c r="A121" t="s">
        <v>296</v>
      </c>
      <c r="B121" t="s">
        <v>41</v>
      </c>
      <c r="E121">
        <v>1</v>
      </c>
      <c r="F121" t="s">
        <v>147</v>
      </c>
      <c r="G121" s="1" t="s">
        <v>297</v>
      </c>
      <c r="H121" s="1" t="s">
        <v>298</v>
      </c>
      <c r="I121" s="22">
        <v>7004002</v>
      </c>
      <c r="J121" s="1" t="s">
        <v>299</v>
      </c>
      <c r="K121" s="1" t="s">
        <v>300</v>
      </c>
    </row>
    <row r="122" spans="1:11" ht="30" x14ac:dyDescent="0.25">
      <c r="A122" t="s">
        <v>301</v>
      </c>
      <c r="B122" t="s">
        <v>41</v>
      </c>
      <c r="E122">
        <v>1</v>
      </c>
      <c r="F122" t="s">
        <v>147</v>
      </c>
      <c r="G122" s="1" t="s">
        <v>302</v>
      </c>
      <c r="H122" s="1" t="s">
        <v>62</v>
      </c>
      <c r="I122" s="22">
        <v>7004003</v>
      </c>
    </row>
    <row r="123" spans="1:11" ht="30" x14ac:dyDescent="0.25">
      <c r="A123" t="s">
        <v>303</v>
      </c>
      <c r="B123" t="s">
        <v>41</v>
      </c>
      <c r="E123">
        <v>1</v>
      </c>
      <c r="F123" t="s">
        <v>147</v>
      </c>
      <c r="G123" s="1" t="s">
        <v>304</v>
      </c>
      <c r="H123" s="1" t="s">
        <v>305</v>
      </c>
      <c r="I123" s="22">
        <v>7004004</v>
      </c>
      <c r="K123" s="1" t="s">
        <v>306</v>
      </c>
    </row>
    <row r="124" spans="1:11" ht="30" x14ac:dyDescent="0.25">
      <c r="A124" t="s">
        <v>307</v>
      </c>
      <c r="B124" t="s">
        <v>41</v>
      </c>
      <c r="E124">
        <v>1</v>
      </c>
      <c r="F124" t="s">
        <v>147</v>
      </c>
      <c r="G124" s="1" t="s">
        <v>308</v>
      </c>
      <c r="H124" s="1" t="s">
        <v>62</v>
      </c>
      <c r="I124" s="22">
        <v>7004005</v>
      </c>
      <c r="K124" s="1" t="s">
        <v>309</v>
      </c>
    </row>
    <row r="125" spans="1:11" ht="30" x14ac:dyDescent="0.25">
      <c r="A125" t="s">
        <v>310</v>
      </c>
      <c r="B125" t="s">
        <v>41</v>
      </c>
      <c r="E125">
        <v>1</v>
      </c>
      <c r="F125" t="s">
        <v>147</v>
      </c>
      <c r="G125" s="1" t="s">
        <v>311</v>
      </c>
      <c r="H125" s="1" t="s">
        <v>312</v>
      </c>
      <c r="I125" s="22">
        <v>7004006</v>
      </c>
      <c r="K125" s="1" t="s">
        <v>313</v>
      </c>
    </row>
    <row r="126" spans="1:11" ht="30" x14ac:dyDescent="0.25">
      <c r="A126" t="s">
        <v>314</v>
      </c>
      <c r="B126" t="s">
        <v>41</v>
      </c>
      <c r="E126">
        <v>1</v>
      </c>
      <c r="F126" t="s">
        <v>147</v>
      </c>
      <c r="G126" s="1" t="s">
        <v>315</v>
      </c>
      <c r="H126" s="1" t="s">
        <v>316</v>
      </c>
      <c r="I126" s="22">
        <v>7004007</v>
      </c>
      <c r="K126" s="1" t="s">
        <v>317</v>
      </c>
    </row>
    <row r="127" spans="1:11" ht="15.75" x14ac:dyDescent="0.25">
      <c r="A127" t="s">
        <v>318</v>
      </c>
      <c r="B127" t="s">
        <v>41</v>
      </c>
      <c r="E127">
        <v>1</v>
      </c>
      <c r="F127" t="s">
        <v>147</v>
      </c>
      <c r="G127" s="1" t="s">
        <v>319</v>
      </c>
      <c r="H127" s="1" t="s">
        <v>62</v>
      </c>
      <c r="I127" s="22">
        <v>7004008</v>
      </c>
    </row>
    <row r="128" spans="1:11" ht="45" x14ac:dyDescent="0.25">
      <c r="A128" t="s">
        <v>320</v>
      </c>
      <c r="B128" t="s">
        <v>41</v>
      </c>
      <c r="E128">
        <v>1</v>
      </c>
      <c r="F128" t="s">
        <v>147</v>
      </c>
      <c r="G128" s="1" t="s">
        <v>321</v>
      </c>
      <c r="H128" s="1" t="s">
        <v>322</v>
      </c>
      <c r="I128" s="22">
        <v>7004009</v>
      </c>
      <c r="K128" s="1" t="s">
        <v>323</v>
      </c>
    </row>
    <row r="129" spans="1:11" ht="15.75" x14ac:dyDescent="0.25">
      <c r="A129" t="s">
        <v>324</v>
      </c>
      <c r="B129" t="s">
        <v>41</v>
      </c>
      <c r="E129">
        <v>1</v>
      </c>
      <c r="F129" t="s">
        <v>147</v>
      </c>
      <c r="G129" s="1" t="s">
        <v>325</v>
      </c>
      <c r="H129" s="1" t="s">
        <v>62</v>
      </c>
      <c r="I129" s="22">
        <v>7004010</v>
      </c>
      <c r="K129" s="1" t="s">
        <v>326</v>
      </c>
    </row>
    <row r="130" spans="1:11" ht="30" x14ac:dyDescent="0.25">
      <c r="A130" t="s">
        <v>327</v>
      </c>
      <c r="B130" t="s">
        <v>41</v>
      </c>
      <c r="E130">
        <v>1</v>
      </c>
      <c r="F130" t="s">
        <v>147</v>
      </c>
      <c r="G130" s="1" t="s">
        <v>328</v>
      </c>
      <c r="H130" s="1" t="s">
        <v>329</v>
      </c>
      <c r="I130" s="22">
        <v>7004011</v>
      </c>
      <c r="K130" s="1" t="s">
        <v>330</v>
      </c>
    </row>
    <row r="131" spans="1:11" ht="15.75" x14ac:dyDescent="0.25">
      <c r="A131" t="s">
        <v>331</v>
      </c>
      <c r="B131" t="s">
        <v>41</v>
      </c>
      <c r="E131">
        <v>1</v>
      </c>
      <c r="F131" t="s">
        <v>147</v>
      </c>
      <c r="G131" s="1" t="s">
        <v>332</v>
      </c>
      <c r="H131" s="1" t="s">
        <v>62</v>
      </c>
      <c r="I131" s="22">
        <v>7004012</v>
      </c>
      <c r="K131" s="1" t="s">
        <v>333</v>
      </c>
    </row>
    <row r="132" spans="1:11" ht="15.75" x14ac:dyDescent="0.25">
      <c r="A132" t="s">
        <v>334</v>
      </c>
      <c r="B132" t="s">
        <v>41</v>
      </c>
      <c r="E132">
        <v>1</v>
      </c>
      <c r="F132" t="s">
        <v>147</v>
      </c>
      <c r="G132" s="1" t="s">
        <v>335</v>
      </c>
      <c r="H132" s="1" t="s">
        <v>62</v>
      </c>
      <c r="I132" s="22">
        <v>7004013</v>
      </c>
      <c r="J132" s="1" t="s">
        <v>336</v>
      </c>
      <c r="K132" s="1" t="s">
        <v>337</v>
      </c>
    </row>
    <row r="133" spans="1:11" ht="15.75" x14ac:dyDescent="0.25">
      <c r="A133" t="s">
        <v>338</v>
      </c>
      <c r="B133" t="s">
        <v>41</v>
      </c>
      <c r="E133">
        <v>1</v>
      </c>
      <c r="F133" t="s">
        <v>147</v>
      </c>
      <c r="G133" s="1" t="s">
        <v>339</v>
      </c>
      <c r="H133" s="1" t="s">
        <v>62</v>
      </c>
      <c r="I133" s="22">
        <v>7004014</v>
      </c>
      <c r="K133" s="1" t="s">
        <v>340</v>
      </c>
    </row>
    <row r="134" spans="1:11" ht="15.75" x14ac:dyDescent="0.25">
      <c r="A134" t="s">
        <v>341</v>
      </c>
      <c r="B134" t="s">
        <v>41</v>
      </c>
      <c r="E134">
        <v>1</v>
      </c>
      <c r="F134" t="s">
        <v>147</v>
      </c>
      <c r="G134" s="1" t="s">
        <v>342</v>
      </c>
      <c r="H134" s="1" t="s">
        <v>343</v>
      </c>
      <c r="I134" s="22">
        <v>7004015</v>
      </c>
      <c r="K134" s="1" t="s">
        <v>344</v>
      </c>
    </row>
    <row r="135" spans="1:11" ht="30" x14ac:dyDescent="0.25">
      <c r="A135" t="s">
        <v>345</v>
      </c>
      <c r="B135" t="s">
        <v>41</v>
      </c>
      <c r="E135">
        <v>1</v>
      </c>
      <c r="F135" t="s">
        <v>147</v>
      </c>
      <c r="G135" s="1" t="s">
        <v>346</v>
      </c>
      <c r="H135" s="1" t="s">
        <v>347</v>
      </c>
      <c r="I135" s="22">
        <v>7004016</v>
      </c>
      <c r="K135" s="1" t="s">
        <v>348</v>
      </c>
    </row>
    <row r="136" spans="1:11" ht="45" x14ac:dyDescent="0.25">
      <c r="A136" t="s">
        <v>349</v>
      </c>
      <c r="B136" t="s">
        <v>42</v>
      </c>
      <c r="E136">
        <v>24</v>
      </c>
      <c r="F136" t="s">
        <v>147</v>
      </c>
      <c r="G136" s="1" t="s">
        <v>350</v>
      </c>
      <c r="H136" s="1" t="s">
        <v>351</v>
      </c>
      <c r="I136" s="22">
        <v>7005001</v>
      </c>
      <c r="K136" s="1" t="s">
        <v>352</v>
      </c>
    </row>
    <row r="137" spans="1:11" ht="45" x14ac:dyDescent="0.25">
      <c r="A137" t="s">
        <v>353</v>
      </c>
      <c r="B137" t="s">
        <v>42</v>
      </c>
      <c r="E137">
        <v>24</v>
      </c>
      <c r="F137" t="s">
        <v>147</v>
      </c>
      <c r="G137" s="1" t="s">
        <v>354</v>
      </c>
      <c r="H137" s="1" t="s">
        <v>351</v>
      </c>
      <c r="I137" s="22">
        <v>7005002</v>
      </c>
      <c r="K137" s="1" t="s">
        <v>352</v>
      </c>
    </row>
    <row r="138" spans="1:11" ht="15.75" x14ac:dyDescent="0.25">
      <c r="A138" t="s">
        <v>355</v>
      </c>
      <c r="B138" t="s">
        <v>42</v>
      </c>
      <c r="E138">
        <v>14</v>
      </c>
      <c r="F138" t="s">
        <v>60</v>
      </c>
      <c r="G138" s="1" t="s">
        <v>356</v>
      </c>
      <c r="H138" s="1" t="s">
        <v>62</v>
      </c>
      <c r="I138" s="22">
        <v>7005003</v>
      </c>
    </row>
    <row r="139" spans="1:11" ht="15.75" x14ac:dyDescent="0.25">
      <c r="A139" t="s">
        <v>357</v>
      </c>
      <c r="B139" t="s">
        <v>42</v>
      </c>
      <c r="E139">
        <v>14</v>
      </c>
      <c r="F139" t="s">
        <v>60</v>
      </c>
      <c r="G139" s="1" t="s">
        <v>358</v>
      </c>
      <c r="H139" s="1" t="s">
        <v>62</v>
      </c>
      <c r="I139" s="22">
        <v>7005004</v>
      </c>
    </row>
    <row r="140" spans="1:11" ht="15.75" x14ac:dyDescent="0.25">
      <c r="A140" t="s">
        <v>359</v>
      </c>
      <c r="B140" t="s">
        <v>43</v>
      </c>
      <c r="E140">
        <v>1</v>
      </c>
      <c r="F140" t="s">
        <v>60</v>
      </c>
      <c r="G140" s="1" t="s">
        <v>62</v>
      </c>
      <c r="H140" s="1" t="s">
        <v>62</v>
      </c>
      <c r="I140" s="22">
        <v>7006001</v>
      </c>
      <c r="K140" s="1" t="s">
        <v>360</v>
      </c>
    </row>
    <row r="141" spans="1:11" ht="15.75" x14ac:dyDescent="0.25">
      <c r="A141" t="s">
        <v>361</v>
      </c>
      <c r="B141" t="s">
        <v>43</v>
      </c>
      <c r="E141">
        <v>3</v>
      </c>
      <c r="F141" t="s">
        <v>60</v>
      </c>
      <c r="G141" s="1" t="s">
        <v>62</v>
      </c>
      <c r="H141" s="1" t="s">
        <v>62</v>
      </c>
      <c r="I141" s="22">
        <v>7006002</v>
      </c>
      <c r="K141" s="1" t="s">
        <v>362</v>
      </c>
    </row>
    <row r="142" spans="1:11" ht="15.75" x14ac:dyDescent="0.25">
      <c r="A142" t="s">
        <v>363</v>
      </c>
      <c r="B142" t="s">
        <v>43</v>
      </c>
      <c r="E142">
        <v>3</v>
      </c>
      <c r="F142" t="s">
        <v>60</v>
      </c>
      <c r="G142" s="1" t="s">
        <v>62</v>
      </c>
      <c r="H142" s="1" t="s">
        <v>62</v>
      </c>
      <c r="I142" s="22">
        <v>7006003</v>
      </c>
      <c r="K142" s="1" t="s">
        <v>1494</v>
      </c>
    </row>
    <row r="143" spans="1:11" ht="15.75" x14ac:dyDescent="0.25">
      <c r="A143" t="s">
        <v>364</v>
      </c>
      <c r="B143" t="s">
        <v>43</v>
      </c>
      <c r="E143">
        <v>3</v>
      </c>
      <c r="F143" t="s">
        <v>60</v>
      </c>
      <c r="G143" s="1" t="s">
        <v>62</v>
      </c>
      <c r="H143" s="1" t="s">
        <v>62</v>
      </c>
      <c r="I143" s="22">
        <v>7006004</v>
      </c>
      <c r="K143" s="1" t="s">
        <v>365</v>
      </c>
    </row>
    <row r="144" spans="1:11" ht="15.75" x14ac:dyDescent="0.25">
      <c r="A144" t="s">
        <v>366</v>
      </c>
      <c r="B144" t="s">
        <v>43</v>
      </c>
      <c r="E144">
        <v>2</v>
      </c>
      <c r="F144" t="s">
        <v>60</v>
      </c>
      <c r="G144" s="1" t="s">
        <v>62</v>
      </c>
      <c r="H144" s="1" t="s">
        <v>62</v>
      </c>
      <c r="I144" s="22">
        <v>7006005</v>
      </c>
      <c r="K144" s="1" t="s">
        <v>1495</v>
      </c>
    </row>
    <row r="145" spans="1:11" ht="15.75" x14ac:dyDescent="0.25">
      <c r="A145" t="s">
        <v>367</v>
      </c>
      <c r="B145" t="s">
        <v>43</v>
      </c>
      <c r="E145">
        <v>3</v>
      </c>
      <c r="F145" t="s">
        <v>60</v>
      </c>
      <c r="G145" s="1" t="s">
        <v>62</v>
      </c>
      <c r="H145" s="1" t="s">
        <v>62</v>
      </c>
      <c r="I145" s="22">
        <v>7006006</v>
      </c>
      <c r="K145" s="1" t="s">
        <v>368</v>
      </c>
    </row>
    <row r="146" spans="1:11" ht="15.75" x14ac:dyDescent="0.25">
      <c r="A146" t="s">
        <v>369</v>
      </c>
      <c r="B146" t="s">
        <v>43</v>
      </c>
      <c r="E146">
        <v>3</v>
      </c>
      <c r="F146" t="s">
        <v>60</v>
      </c>
      <c r="G146" s="1" t="s">
        <v>62</v>
      </c>
      <c r="H146" s="1" t="s">
        <v>62</v>
      </c>
      <c r="I146" s="22">
        <v>7006007</v>
      </c>
      <c r="K146" s="1" t="s">
        <v>370</v>
      </c>
    </row>
    <row r="147" spans="1:11" ht="15.75" x14ac:dyDescent="0.25">
      <c r="A147" t="s">
        <v>371</v>
      </c>
      <c r="B147" t="s">
        <v>43</v>
      </c>
      <c r="E147">
        <v>3</v>
      </c>
      <c r="F147" t="s">
        <v>60</v>
      </c>
      <c r="G147" s="1" t="s">
        <v>62</v>
      </c>
      <c r="H147" s="1" t="s">
        <v>62</v>
      </c>
      <c r="I147" s="22">
        <v>7006008</v>
      </c>
      <c r="K147" s="1" t="s">
        <v>1496</v>
      </c>
    </row>
    <row r="148" spans="1:11" ht="15.75" x14ac:dyDescent="0.25">
      <c r="A148" t="s">
        <v>372</v>
      </c>
      <c r="B148" t="s">
        <v>43</v>
      </c>
      <c r="E148">
        <v>3</v>
      </c>
      <c r="F148" t="s">
        <v>60</v>
      </c>
      <c r="G148" s="1" t="s">
        <v>62</v>
      </c>
      <c r="H148" s="1" t="s">
        <v>62</v>
      </c>
      <c r="I148" s="22">
        <v>7006009</v>
      </c>
      <c r="K148" s="1" t="s">
        <v>373</v>
      </c>
    </row>
    <row r="149" spans="1:11" ht="15.75" x14ac:dyDescent="0.25">
      <c r="A149" t="s">
        <v>374</v>
      </c>
      <c r="B149" t="s">
        <v>43</v>
      </c>
      <c r="E149">
        <v>3</v>
      </c>
      <c r="F149" t="s">
        <v>60</v>
      </c>
      <c r="G149" s="1" t="s">
        <v>62</v>
      </c>
      <c r="H149" s="1" t="s">
        <v>62</v>
      </c>
      <c r="I149" s="22">
        <v>7006010</v>
      </c>
      <c r="K149" s="1" t="s">
        <v>375</v>
      </c>
    </row>
    <row r="150" spans="1:11" ht="15.75" x14ac:dyDescent="0.25">
      <c r="A150" t="s">
        <v>376</v>
      </c>
      <c r="B150" t="s">
        <v>43</v>
      </c>
      <c r="E150">
        <v>2</v>
      </c>
      <c r="F150" t="s">
        <v>60</v>
      </c>
      <c r="G150" s="1" t="s">
        <v>62</v>
      </c>
      <c r="H150" s="1" t="s">
        <v>62</v>
      </c>
      <c r="I150" s="22">
        <v>7006011</v>
      </c>
      <c r="K150" s="1" t="s">
        <v>377</v>
      </c>
    </row>
    <row r="151" spans="1:11" ht="15.75" x14ac:dyDescent="0.25">
      <c r="A151" t="s">
        <v>378</v>
      </c>
      <c r="B151" t="s">
        <v>43</v>
      </c>
      <c r="E151">
        <v>2</v>
      </c>
      <c r="F151" t="s">
        <v>60</v>
      </c>
      <c r="G151" s="1" t="s">
        <v>62</v>
      </c>
      <c r="H151" s="1" t="s">
        <v>62</v>
      </c>
      <c r="I151" s="22">
        <v>7006012</v>
      </c>
      <c r="K151" s="1" t="s">
        <v>1497</v>
      </c>
    </row>
    <row r="152" spans="1:11" ht="15.75" x14ac:dyDescent="0.25">
      <c r="A152" t="s">
        <v>379</v>
      </c>
      <c r="B152" t="s">
        <v>43</v>
      </c>
      <c r="E152">
        <v>3</v>
      </c>
      <c r="F152" t="s">
        <v>60</v>
      </c>
      <c r="G152" s="1" t="s">
        <v>62</v>
      </c>
      <c r="H152" s="1" t="s">
        <v>62</v>
      </c>
      <c r="I152" s="22">
        <v>7006013</v>
      </c>
      <c r="K152" s="1" t="s">
        <v>380</v>
      </c>
    </row>
    <row r="153" spans="1:11" ht="15.75" x14ac:dyDescent="0.25">
      <c r="A153" t="s">
        <v>381</v>
      </c>
      <c r="B153" t="s">
        <v>43</v>
      </c>
      <c r="E153">
        <v>3</v>
      </c>
      <c r="F153" t="s">
        <v>60</v>
      </c>
      <c r="G153" s="1" t="s">
        <v>62</v>
      </c>
      <c r="H153" s="1" t="s">
        <v>62</v>
      </c>
      <c r="I153" s="22">
        <v>7006014</v>
      </c>
      <c r="K153" s="1" t="s">
        <v>1498</v>
      </c>
    </row>
    <row r="154" spans="1:11" ht="15.75" x14ac:dyDescent="0.25">
      <c r="A154" t="s">
        <v>382</v>
      </c>
      <c r="B154" t="s">
        <v>43</v>
      </c>
      <c r="E154">
        <v>3</v>
      </c>
      <c r="F154" t="s">
        <v>60</v>
      </c>
      <c r="G154" s="1" t="s">
        <v>62</v>
      </c>
      <c r="H154" s="1" t="s">
        <v>62</v>
      </c>
      <c r="I154" s="22">
        <v>7006015</v>
      </c>
      <c r="K154" s="1" t="s">
        <v>383</v>
      </c>
    </row>
    <row r="155" spans="1:11" ht="15.75" x14ac:dyDescent="0.25">
      <c r="A155" t="s">
        <v>384</v>
      </c>
      <c r="B155" t="s">
        <v>43</v>
      </c>
      <c r="E155">
        <v>3</v>
      </c>
      <c r="F155" t="s">
        <v>60</v>
      </c>
      <c r="G155" s="1" t="s">
        <v>62</v>
      </c>
      <c r="H155" s="1" t="s">
        <v>62</v>
      </c>
      <c r="I155" s="22">
        <v>7006016</v>
      </c>
      <c r="K155" s="1" t="s">
        <v>385</v>
      </c>
    </row>
    <row r="156" spans="1:11" ht="30" x14ac:dyDescent="0.25">
      <c r="A156" t="s">
        <v>386</v>
      </c>
      <c r="B156" t="s">
        <v>44</v>
      </c>
      <c r="E156">
        <v>1</v>
      </c>
      <c r="F156" t="s">
        <v>147</v>
      </c>
      <c r="G156" s="1" t="s">
        <v>387</v>
      </c>
      <c r="H156" s="1" t="s">
        <v>388</v>
      </c>
      <c r="I156" s="23">
        <v>7007001</v>
      </c>
    </row>
    <row r="157" spans="1:11" ht="30" x14ac:dyDescent="0.25">
      <c r="A157" t="s">
        <v>389</v>
      </c>
      <c r="B157" t="s">
        <v>44</v>
      </c>
      <c r="E157">
        <v>1</v>
      </c>
      <c r="F157" t="s">
        <v>147</v>
      </c>
      <c r="G157" s="1" t="s">
        <v>390</v>
      </c>
      <c r="H157" s="1" t="s">
        <v>388</v>
      </c>
      <c r="I157" s="23">
        <v>7007002</v>
      </c>
    </row>
    <row r="158" spans="1:11" ht="30" x14ac:dyDescent="0.25">
      <c r="A158" t="s">
        <v>391</v>
      </c>
      <c r="B158" t="s">
        <v>44</v>
      </c>
      <c r="E158">
        <v>1</v>
      </c>
      <c r="F158" t="s">
        <v>147</v>
      </c>
      <c r="G158" s="1" t="s">
        <v>392</v>
      </c>
      <c r="H158" s="1" t="s">
        <v>388</v>
      </c>
      <c r="I158" s="23">
        <v>7007003</v>
      </c>
    </row>
    <row r="159" spans="1:11" ht="30" x14ac:dyDescent="0.25">
      <c r="A159" t="s">
        <v>393</v>
      </c>
      <c r="B159" t="s">
        <v>44</v>
      </c>
      <c r="E159">
        <v>1</v>
      </c>
      <c r="F159" t="s">
        <v>147</v>
      </c>
      <c r="G159" s="1" t="s">
        <v>394</v>
      </c>
      <c r="H159" s="1" t="s">
        <v>395</v>
      </c>
      <c r="I159" s="23">
        <v>7007004</v>
      </c>
    </row>
    <row r="160" spans="1:11" ht="30" x14ac:dyDescent="0.25">
      <c r="A160" t="s">
        <v>396</v>
      </c>
      <c r="B160" t="s">
        <v>44</v>
      </c>
      <c r="E160">
        <v>1</v>
      </c>
      <c r="F160" t="s">
        <v>147</v>
      </c>
      <c r="G160" s="1" t="s">
        <v>397</v>
      </c>
      <c r="H160" s="1" t="s">
        <v>398</v>
      </c>
      <c r="I160" s="23">
        <v>7007005</v>
      </c>
    </row>
    <row r="161" spans="1:11" ht="75" x14ac:dyDescent="0.25">
      <c r="A161" t="s">
        <v>399</v>
      </c>
      <c r="B161" t="s">
        <v>44</v>
      </c>
      <c r="E161">
        <v>1</v>
      </c>
      <c r="F161" t="s">
        <v>147</v>
      </c>
      <c r="G161" s="1" t="s">
        <v>400</v>
      </c>
      <c r="H161" s="1" t="s">
        <v>401</v>
      </c>
      <c r="I161" s="23">
        <v>7007006</v>
      </c>
    </row>
    <row r="162" spans="1:11" ht="30" x14ac:dyDescent="0.25">
      <c r="A162" t="s">
        <v>402</v>
      </c>
      <c r="B162" t="s">
        <v>44</v>
      </c>
      <c r="E162">
        <v>1</v>
      </c>
      <c r="F162" t="s">
        <v>147</v>
      </c>
      <c r="G162" s="1" t="s">
        <v>403</v>
      </c>
      <c r="H162" s="1" t="s">
        <v>404</v>
      </c>
      <c r="I162" s="23">
        <v>7007007</v>
      </c>
    </row>
    <row r="163" spans="1:11" ht="45" x14ac:dyDescent="0.25">
      <c r="A163" t="s">
        <v>405</v>
      </c>
      <c r="B163" t="s">
        <v>44</v>
      </c>
      <c r="E163">
        <v>1</v>
      </c>
      <c r="F163" t="s">
        <v>147</v>
      </c>
      <c r="G163" s="1" t="s">
        <v>406</v>
      </c>
      <c r="H163" s="1" t="s">
        <v>407</v>
      </c>
      <c r="I163" s="23">
        <v>7007008</v>
      </c>
    </row>
    <row r="164" spans="1:11" ht="30" x14ac:dyDescent="0.25">
      <c r="A164" t="s">
        <v>408</v>
      </c>
      <c r="B164" t="s">
        <v>44</v>
      </c>
      <c r="E164">
        <v>1</v>
      </c>
      <c r="F164" t="s">
        <v>147</v>
      </c>
      <c r="G164" s="1" t="s">
        <v>409</v>
      </c>
      <c r="H164" s="1" t="s">
        <v>410</v>
      </c>
      <c r="I164" s="23">
        <v>7007009</v>
      </c>
    </row>
    <row r="165" spans="1:11" ht="45" x14ac:dyDescent="0.25">
      <c r="A165" t="s">
        <v>411</v>
      </c>
      <c r="B165" t="s">
        <v>44</v>
      </c>
      <c r="E165">
        <v>1</v>
      </c>
      <c r="F165" t="s">
        <v>147</v>
      </c>
      <c r="G165" s="1" t="s">
        <v>412</v>
      </c>
      <c r="H165" s="1" t="s">
        <v>413</v>
      </c>
      <c r="I165" s="23">
        <v>7007010</v>
      </c>
    </row>
    <row r="166" spans="1:11" ht="15.75" x14ac:dyDescent="0.25">
      <c r="A166" t="s">
        <v>414</v>
      </c>
      <c r="B166" t="s">
        <v>44</v>
      </c>
      <c r="E166">
        <v>1</v>
      </c>
      <c r="F166" t="s">
        <v>147</v>
      </c>
      <c r="G166" s="1" t="s">
        <v>415</v>
      </c>
      <c r="H166" s="1" t="s">
        <v>416</v>
      </c>
      <c r="I166" s="23">
        <v>7007011</v>
      </c>
    </row>
    <row r="167" spans="1:11" ht="15.75" x14ac:dyDescent="0.25">
      <c r="A167" t="s">
        <v>417</v>
      </c>
      <c r="B167" t="s">
        <v>44</v>
      </c>
      <c r="E167">
        <v>1</v>
      </c>
      <c r="F167" t="s">
        <v>147</v>
      </c>
      <c r="G167" s="1" t="s">
        <v>418</v>
      </c>
      <c r="H167" s="1" t="s">
        <v>416</v>
      </c>
      <c r="I167" s="23">
        <v>7007012</v>
      </c>
    </row>
    <row r="168" spans="1:11" ht="15.75" x14ac:dyDescent="0.25">
      <c r="A168" t="s">
        <v>419</v>
      </c>
      <c r="B168" t="s">
        <v>44</v>
      </c>
      <c r="E168">
        <v>1</v>
      </c>
      <c r="F168" t="s">
        <v>147</v>
      </c>
      <c r="G168" s="1" t="s">
        <v>420</v>
      </c>
      <c r="H168" s="1" t="s">
        <v>416</v>
      </c>
      <c r="I168" s="23">
        <v>7007013</v>
      </c>
    </row>
    <row r="169" spans="1:11" ht="15.75" x14ac:dyDescent="0.25">
      <c r="A169" t="s">
        <v>421</v>
      </c>
      <c r="B169" t="s">
        <v>44</v>
      </c>
      <c r="E169">
        <v>1</v>
      </c>
      <c r="F169" t="s">
        <v>147</v>
      </c>
      <c r="G169" s="1" t="s">
        <v>422</v>
      </c>
      <c r="H169" s="1" t="s">
        <v>416</v>
      </c>
      <c r="I169" s="23">
        <v>7007014</v>
      </c>
    </row>
    <row r="170" spans="1:11" ht="30" x14ac:dyDescent="0.25">
      <c r="A170" s="12" t="s">
        <v>453</v>
      </c>
      <c r="B170" s="12" t="s">
        <v>44</v>
      </c>
      <c r="C170" s="12"/>
      <c r="D170" s="12"/>
      <c r="E170" s="12">
        <v>0</v>
      </c>
      <c r="F170" s="12" t="s">
        <v>147</v>
      </c>
      <c r="G170" s="12" t="s">
        <v>62</v>
      </c>
      <c r="H170" s="17" t="s">
        <v>454</v>
      </c>
      <c r="I170" s="21">
        <v>7007015</v>
      </c>
      <c r="J170" s="17"/>
      <c r="K170" s="17" t="s">
        <v>455</v>
      </c>
    </row>
    <row r="171" spans="1:11" ht="72" x14ac:dyDescent="0.25">
      <c r="A171" s="18" t="s">
        <v>423</v>
      </c>
      <c r="B171" s="18" t="s">
        <v>44</v>
      </c>
      <c r="C171" s="18"/>
      <c r="D171" s="18"/>
      <c r="E171" s="18">
        <v>1</v>
      </c>
      <c r="F171" s="18" t="s">
        <v>147</v>
      </c>
      <c r="G171" s="18" t="s">
        <v>424</v>
      </c>
      <c r="H171" s="19" t="s">
        <v>425</v>
      </c>
      <c r="I171" s="21">
        <v>7007016</v>
      </c>
      <c r="J171" s="3" t="s">
        <v>426</v>
      </c>
      <c r="K171" s="3" t="s">
        <v>427</v>
      </c>
    </row>
    <row r="172" spans="1:11" ht="57.75" x14ac:dyDescent="0.25">
      <c r="A172" s="18" t="s">
        <v>429</v>
      </c>
      <c r="B172" s="18" t="s">
        <v>44</v>
      </c>
      <c r="C172" s="18"/>
      <c r="D172" s="18"/>
      <c r="E172" s="18">
        <v>1</v>
      </c>
      <c r="F172" s="18" t="s">
        <v>147</v>
      </c>
      <c r="G172" s="18" t="s">
        <v>430</v>
      </c>
      <c r="H172" s="19" t="s">
        <v>431</v>
      </c>
      <c r="I172" s="21">
        <v>7007018</v>
      </c>
      <c r="J172" s="3"/>
      <c r="K172" s="3" t="s">
        <v>432</v>
      </c>
    </row>
    <row r="173" spans="1:11" ht="29.25" x14ac:dyDescent="0.25">
      <c r="A173" s="18" t="s">
        <v>433</v>
      </c>
      <c r="B173" s="18" t="s">
        <v>44</v>
      </c>
      <c r="C173" s="18"/>
      <c r="D173" s="18"/>
      <c r="E173" s="18">
        <v>1</v>
      </c>
      <c r="F173" s="18" t="s">
        <v>147</v>
      </c>
      <c r="G173" s="18" t="s">
        <v>434</v>
      </c>
      <c r="H173" s="19" t="s">
        <v>431</v>
      </c>
      <c r="I173" s="21">
        <v>7007019</v>
      </c>
      <c r="J173" s="3" t="s">
        <v>435</v>
      </c>
      <c r="K173" s="3" t="s">
        <v>436</v>
      </c>
    </row>
    <row r="174" spans="1:11" ht="43.5" x14ac:dyDescent="0.25">
      <c r="A174" s="18" t="s">
        <v>437</v>
      </c>
      <c r="B174" s="18" t="s">
        <v>44</v>
      </c>
      <c r="C174" s="18"/>
      <c r="D174" s="18"/>
      <c r="E174" s="18">
        <v>1</v>
      </c>
      <c r="F174" s="18" t="s">
        <v>147</v>
      </c>
      <c r="G174" s="18" t="s">
        <v>438</v>
      </c>
      <c r="H174" s="19" t="s">
        <v>431</v>
      </c>
      <c r="I174" s="21">
        <v>7007020</v>
      </c>
      <c r="J174" s="3" t="s">
        <v>439</v>
      </c>
      <c r="K174" s="3" t="s">
        <v>440</v>
      </c>
    </row>
    <row r="175" spans="1:11" ht="15.75" x14ac:dyDescent="0.25">
      <c r="A175" t="s">
        <v>441</v>
      </c>
      <c r="B175" t="s">
        <v>45</v>
      </c>
      <c r="E175">
        <v>28</v>
      </c>
      <c r="F175" t="s">
        <v>212</v>
      </c>
      <c r="G175" s="1" t="s">
        <v>442</v>
      </c>
      <c r="H175" s="1" t="s">
        <v>62</v>
      </c>
      <c r="I175" s="22">
        <v>7008001</v>
      </c>
    </row>
    <row r="176" spans="1:11" ht="15.75" x14ac:dyDescent="0.25">
      <c r="A176" t="s">
        <v>443</v>
      </c>
      <c r="B176" t="s">
        <v>45</v>
      </c>
      <c r="E176">
        <v>15</v>
      </c>
      <c r="F176" t="s">
        <v>212</v>
      </c>
      <c r="G176" s="1" t="s">
        <v>444</v>
      </c>
      <c r="H176" s="1" t="s">
        <v>62</v>
      </c>
      <c r="I176" s="22">
        <v>7008002</v>
      </c>
    </row>
    <row r="177" spans="1:11" ht="15.75" x14ac:dyDescent="0.25">
      <c r="A177" t="s">
        <v>445</v>
      </c>
      <c r="B177" t="s">
        <v>45</v>
      </c>
      <c r="E177">
        <v>20</v>
      </c>
      <c r="F177" t="s">
        <v>212</v>
      </c>
      <c r="G177" s="1" t="s">
        <v>446</v>
      </c>
      <c r="H177" s="1" t="s">
        <v>62</v>
      </c>
      <c r="I177" s="22">
        <v>7008003</v>
      </c>
    </row>
    <row r="178" spans="1:11" ht="15.75" x14ac:dyDescent="0.25">
      <c r="A178" t="s">
        <v>447</v>
      </c>
      <c r="B178" t="s">
        <v>45</v>
      </c>
      <c r="E178">
        <v>21</v>
      </c>
      <c r="F178" t="s">
        <v>212</v>
      </c>
      <c r="G178" s="1" t="s">
        <v>448</v>
      </c>
      <c r="H178" s="1" t="s">
        <v>62</v>
      </c>
      <c r="I178" s="22">
        <v>7008004</v>
      </c>
    </row>
    <row r="179" spans="1:11" ht="15.75" x14ac:dyDescent="0.25">
      <c r="A179" t="s">
        <v>449</v>
      </c>
      <c r="B179" t="s">
        <v>45</v>
      </c>
      <c r="E179">
        <v>49</v>
      </c>
      <c r="F179" t="s">
        <v>212</v>
      </c>
      <c r="G179" s="1" t="s">
        <v>450</v>
      </c>
      <c r="H179" s="1" t="s">
        <v>62</v>
      </c>
      <c r="I179" s="22">
        <v>7008005</v>
      </c>
    </row>
    <row r="180" spans="1:11" ht="15.75" x14ac:dyDescent="0.25">
      <c r="A180" t="s">
        <v>451</v>
      </c>
      <c r="B180" t="s">
        <v>45</v>
      </c>
      <c r="E180">
        <v>14</v>
      </c>
      <c r="F180" t="s">
        <v>212</v>
      </c>
      <c r="G180" s="1" t="s">
        <v>452</v>
      </c>
      <c r="H180" s="1" t="s">
        <v>62</v>
      </c>
      <c r="I180" s="22">
        <v>7008006</v>
      </c>
    </row>
    <row r="181" spans="1:11" ht="15.75" x14ac:dyDescent="0.25">
      <c r="A181" s="12" t="s">
        <v>464</v>
      </c>
      <c r="B181" s="12" t="s">
        <v>465</v>
      </c>
      <c r="C181" s="12"/>
      <c r="D181" s="12"/>
      <c r="E181" s="12">
        <v>0</v>
      </c>
      <c r="F181" s="12" t="s">
        <v>466</v>
      </c>
      <c r="G181" s="12" t="s">
        <v>62</v>
      </c>
      <c r="H181" s="17" t="s">
        <v>62</v>
      </c>
      <c r="I181" s="21">
        <v>7009001</v>
      </c>
      <c r="J181" s="17"/>
      <c r="K181" s="17" t="s">
        <v>467</v>
      </c>
    </row>
    <row r="182" spans="1:11" ht="15.75" x14ac:dyDescent="0.25">
      <c r="A182" s="12" t="s">
        <v>468</v>
      </c>
      <c r="B182" s="12" t="s">
        <v>465</v>
      </c>
      <c r="C182" s="12"/>
      <c r="D182" s="12"/>
      <c r="E182" s="12">
        <v>0</v>
      </c>
      <c r="F182" s="12" t="s">
        <v>466</v>
      </c>
      <c r="G182" s="12" t="s">
        <v>62</v>
      </c>
      <c r="H182" s="17" t="s">
        <v>62</v>
      </c>
      <c r="I182" s="21">
        <v>7009002</v>
      </c>
      <c r="J182" s="17"/>
      <c r="K182" s="17" t="s">
        <v>467</v>
      </c>
    </row>
    <row r="183" spans="1:11" ht="15.75" x14ac:dyDescent="0.25">
      <c r="A183" s="12" t="s">
        <v>469</v>
      </c>
      <c r="B183" s="12" t="s">
        <v>465</v>
      </c>
      <c r="C183" s="12"/>
      <c r="D183" s="12"/>
      <c r="E183" s="12">
        <v>0</v>
      </c>
      <c r="F183" s="12" t="s">
        <v>466</v>
      </c>
      <c r="G183" s="12" t="s">
        <v>62</v>
      </c>
      <c r="H183" s="17" t="s">
        <v>62</v>
      </c>
      <c r="I183" s="21">
        <v>7009003</v>
      </c>
      <c r="J183" s="17"/>
      <c r="K183" s="17" t="s">
        <v>467</v>
      </c>
    </row>
    <row r="184" spans="1:11" ht="15.75" x14ac:dyDescent="0.25">
      <c r="A184" s="12" t="s">
        <v>470</v>
      </c>
      <c r="B184" s="12" t="s">
        <v>465</v>
      </c>
      <c r="C184" s="12"/>
      <c r="D184" s="12"/>
      <c r="E184" s="12">
        <v>0</v>
      </c>
      <c r="F184" s="12" t="s">
        <v>466</v>
      </c>
      <c r="G184" s="12" t="s">
        <v>62</v>
      </c>
      <c r="H184" s="17" t="s">
        <v>62</v>
      </c>
      <c r="I184" s="21">
        <v>7009004</v>
      </c>
      <c r="J184" s="17"/>
      <c r="K184" s="17" t="s">
        <v>467</v>
      </c>
    </row>
    <row r="185" spans="1:11" ht="15.75" x14ac:dyDescent="0.25">
      <c r="A185" s="12" t="s">
        <v>471</v>
      </c>
      <c r="B185" s="12" t="s">
        <v>465</v>
      </c>
      <c r="C185" s="12"/>
      <c r="D185" s="12"/>
      <c r="E185" s="12">
        <v>0</v>
      </c>
      <c r="F185" s="12" t="s">
        <v>466</v>
      </c>
      <c r="G185" s="12" t="s">
        <v>62</v>
      </c>
      <c r="H185" s="17" t="s">
        <v>62</v>
      </c>
      <c r="I185" s="21">
        <v>7009005</v>
      </c>
      <c r="J185" s="17"/>
      <c r="K185" s="17" t="s">
        <v>467</v>
      </c>
    </row>
    <row r="186" spans="1:11" ht="15.75" x14ac:dyDescent="0.25">
      <c r="A186" s="12" t="s">
        <v>472</v>
      </c>
      <c r="B186" s="12" t="s">
        <v>465</v>
      </c>
      <c r="C186" s="12"/>
      <c r="D186" s="12"/>
      <c r="E186" s="12">
        <v>0</v>
      </c>
      <c r="F186" s="12" t="s">
        <v>466</v>
      </c>
      <c r="G186" s="12" t="s">
        <v>62</v>
      </c>
      <c r="H186" s="17" t="s">
        <v>62</v>
      </c>
      <c r="I186" s="21">
        <v>7009006</v>
      </c>
      <c r="J186" s="17"/>
      <c r="K186" s="17" t="s">
        <v>467</v>
      </c>
    </row>
  </sheetData>
  <autoFilter ref="A2:K250" xr:uid="{00000000-0009-0000-0000-000002000000}">
    <sortState xmlns:xlrd2="http://schemas.microsoft.com/office/spreadsheetml/2017/richdata2" ref="A3:K186">
      <sortCondition ref="I2:I250"/>
    </sortState>
  </autoFilter>
  <dataValidations count="2">
    <dataValidation type="list" allowBlank="1" sqref="B3:B399" xr:uid="{00000000-0002-0000-0200-000000000000}">
      <formula1>"Relic,Weapon,Clue,Tarot Cards,Augmentation,Work of Mercy upgrade,Key Item / Skill,EXP Statue,Trap"</formula1>
      <formula2>0</formula2>
    </dataValidation>
    <dataValidation type="list" allowBlank="1" sqref="F3:F399" xr:uid="{00000000-0002-0000-0200-000001000000}">
      <formula1>"progression,useful,filler,trap"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2"/>
  <sheetViews>
    <sheetView zoomScaleNormal="100" workbookViewId="0">
      <pane xSplit="1" ySplit="2" topLeftCell="C153" activePane="bottomRight" state="frozen"/>
      <selection pane="topRight" activeCell="B1" sqref="B1"/>
      <selection pane="bottomLeft" activeCell="A3" sqref="A3"/>
      <selection pane="bottomRight" activeCell="G166" sqref="G166"/>
    </sheetView>
  </sheetViews>
  <sheetFormatPr baseColWidth="10" defaultColWidth="8.7109375" defaultRowHeight="15" x14ac:dyDescent="0.25"/>
  <cols>
    <col min="1" max="1" width="42" customWidth="1"/>
    <col min="2" max="2" width="24.85546875" customWidth="1"/>
    <col min="3" max="3" width="21.7109375" customWidth="1"/>
    <col min="4" max="4" width="15" style="1" customWidth="1"/>
    <col min="5" max="5" width="22.7109375" customWidth="1"/>
    <col min="6" max="6" width="30" customWidth="1"/>
    <col min="7" max="7" width="36" style="1" customWidth="1"/>
    <col min="8" max="8" width="11" customWidth="1"/>
    <col min="9" max="9" width="12" customWidth="1"/>
    <col min="10" max="10" width="22" customWidth="1"/>
    <col min="11" max="11" width="40" style="1" customWidth="1"/>
    <col min="12" max="12" width="30" style="1" customWidth="1"/>
  </cols>
  <sheetData>
    <row r="1" spans="1:12" x14ac:dyDescent="0.25">
      <c r="A1" s="7" t="s">
        <v>473</v>
      </c>
    </row>
    <row r="2" spans="1:12" ht="30" x14ac:dyDescent="0.25">
      <c r="A2" s="8" t="s">
        <v>474</v>
      </c>
      <c r="B2" s="8" t="s">
        <v>475</v>
      </c>
      <c r="C2" s="8" t="s">
        <v>476</v>
      </c>
      <c r="D2" s="8" t="s">
        <v>477</v>
      </c>
      <c r="E2" s="8" t="s">
        <v>478</v>
      </c>
      <c r="F2" s="8" t="s">
        <v>479</v>
      </c>
      <c r="G2" s="8" t="s">
        <v>480</v>
      </c>
      <c r="H2" s="8" t="s">
        <v>481</v>
      </c>
      <c r="I2" s="8" t="s">
        <v>56</v>
      </c>
      <c r="J2" s="8" t="s">
        <v>57</v>
      </c>
      <c r="K2" s="8" t="s">
        <v>58</v>
      </c>
      <c r="L2" s="8" t="s">
        <v>482</v>
      </c>
    </row>
    <row r="3" spans="1:12" ht="30" x14ac:dyDescent="0.25">
      <c r="A3" s="1" t="s">
        <v>61</v>
      </c>
      <c r="B3" t="s">
        <v>483</v>
      </c>
      <c r="C3" t="s">
        <v>38</v>
      </c>
      <c r="D3" s="1" t="s">
        <v>484</v>
      </c>
      <c r="E3" t="s">
        <v>485</v>
      </c>
      <c r="F3" t="s">
        <v>59</v>
      </c>
      <c r="G3" s="1" t="s">
        <v>486</v>
      </c>
      <c r="I3" s="23">
        <v>7101001</v>
      </c>
      <c r="K3" s="1" t="s">
        <v>487</v>
      </c>
      <c r="L3" s="1" t="s">
        <v>484</v>
      </c>
    </row>
    <row r="4" spans="1:12" ht="15.75" x14ac:dyDescent="0.25">
      <c r="A4" s="1" t="s">
        <v>64</v>
      </c>
      <c r="B4" t="s">
        <v>483</v>
      </c>
      <c r="C4" t="s">
        <v>38</v>
      </c>
      <c r="D4" s="1" t="s">
        <v>488</v>
      </c>
      <c r="E4" t="s">
        <v>489</v>
      </c>
      <c r="F4" t="s">
        <v>63</v>
      </c>
      <c r="G4" s="1" t="s">
        <v>490</v>
      </c>
      <c r="I4" s="23">
        <v>7101002</v>
      </c>
      <c r="K4" s="1" t="s">
        <v>491</v>
      </c>
      <c r="L4" s="1" t="s">
        <v>488</v>
      </c>
    </row>
    <row r="5" spans="1:12" ht="15.75" x14ac:dyDescent="0.25">
      <c r="A5" s="1" t="s">
        <v>66</v>
      </c>
      <c r="B5" t="s">
        <v>483</v>
      </c>
      <c r="C5" t="s">
        <v>38</v>
      </c>
      <c r="D5" s="1" t="s">
        <v>492</v>
      </c>
      <c r="E5" t="s">
        <v>493</v>
      </c>
      <c r="F5" t="s">
        <v>65</v>
      </c>
      <c r="G5" s="1" t="s">
        <v>494</v>
      </c>
      <c r="I5" s="23">
        <v>7101003</v>
      </c>
      <c r="K5" s="1" t="s">
        <v>495</v>
      </c>
      <c r="L5" s="1" t="s">
        <v>492</v>
      </c>
    </row>
    <row r="6" spans="1:12" ht="30" x14ac:dyDescent="0.25">
      <c r="A6" s="1" t="s">
        <v>68</v>
      </c>
      <c r="B6" t="s">
        <v>483</v>
      </c>
      <c r="C6" t="s">
        <v>38</v>
      </c>
      <c r="D6" s="1" t="s">
        <v>488</v>
      </c>
      <c r="E6" t="s">
        <v>496</v>
      </c>
      <c r="F6" t="s">
        <v>67</v>
      </c>
      <c r="G6" s="1" t="s">
        <v>497</v>
      </c>
      <c r="I6" s="23">
        <v>7101004</v>
      </c>
      <c r="K6" s="1" t="s">
        <v>498</v>
      </c>
      <c r="L6" s="1" t="s">
        <v>488</v>
      </c>
    </row>
    <row r="7" spans="1:12" ht="15.75" x14ac:dyDescent="0.25">
      <c r="A7" s="1" t="s">
        <v>70</v>
      </c>
      <c r="B7" t="s">
        <v>483</v>
      </c>
      <c r="C7" t="s">
        <v>38</v>
      </c>
      <c r="D7" s="1" t="s">
        <v>488</v>
      </c>
      <c r="E7" t="s">
        <v>499</v>
      </c>
      <c r="F7" t="s">
        <v>69</v>
      </c>
      <c r="G7" s="1" t="s">
        <v>500</v>
      </c>
      <c r="I7" s="23">
        <v>7101005</v>
      </c>
      <c r="K7" s="1" t="s">
        <v>501</v>
      </c>
      <c r="L7" s="1" t="s">
        <v>488</v>
      </c>
    </row>
    <row r="8" spans="1:12" ht="15.75" x14ac:dyDescent="0.25">
      <c r="A8" s="1" t="s">
        <v>72</v>
      </c>
      <c r="B8" t="s">
        <v>483</v>
      </c>
      <c r="C8" t="s">
        <v>38</v>
      </c>
      <c r="D8" s="1" t="s">
        <v>502</v>
      </c>
      <c r="E8" t="s">
        <v>503</v>
      </c>
      <c r="F8" t="s">
        <v>71</v>
      </c>
      <c r="G8" s="1" t="s">
        <v>399</v>
      </c>
      <c r="I8" s="23">
        <v>7101006</v>
      </c>
      <c r="K8" s="1" t="s">
        <v>504</v>
      </c>
      <c r="L8" s="1" t="s">
        <v>502</v>
      </c>
    </row>
    <row r="9" spans="1:12" ht="15.75" x14ac:dyDescent="0.25">
      <c r="A9" s="1" t="s">
        <v>74</v>
      </c>
      <c r="B9" t="s">
        <v>483</v>
      </c>
      <c r="C9" t="s">
        <v>38</v>
      </c>
      <c r="D9" s="1" t="s">
        <v>428</v>
      </c>
      <c r="E9" t="s">
        <v>505</v>
      </c>
      <c r="F9" t="s">
        <v>73</v>
      </c>
      <c r="G9" s="1" t="s">
        <v>494</v>
      </c>
      <c r="I9" s="23">
        <v>7101007</v>
      </c>
      <c r="K9" s="1" t="s">
        <v>506</v>
      </c>
      <c r="L9" s="1" t="s">
        <v>428</v>
      </c>
    </row>
    <row r="10" spans="1:12" ht="15.75" x14ac:dyDescent="0.25">
      <c r="A10" s="1" t="s">
        <v>76</v>
      </c>
      <c r="B10" t="s">
        <v>483</v>
      </c>
      <c r="C10" t="s">
        <v>38</v>
      </c>
      <c r="D10" s="1" t="s">
        <v>488</v>
      </c>
      <c r="E10" t="s">
        <v>507</v>
      </c>
      <c r="F10" t="s">
        <v>75</v>
      </c>
      <c r="G10" s="1" t="s">
        <v>399</v>
      </c>
      <c r="I10" s="23">
        <v>7101008</v>
      </c>
      <c r="K10" s="1" t="s">
        <v>508</v>
      </c>
      <c r="L10" s="1" t="s">
        <v>488</v>
      </c>
    </row>
    <row r="11" spans="1:12" ht="15.75" x14ac:dyDescent="0.25">
      <c r="A11" s="1" t="s">
        <v>1583</v>
      </c>
      <c r="B11" t="s">
        <v>483</v>
      </c>
      <c r="C11" t="s">
        <v>38</v>
      </c>
      <c r="D11" s="1" t="s">
        <v>502</v>
      </c>
      <c r="E11" t="s">
        <v>650</v>
      </c>
      <c r="F11" t="s">
        <v>77</v>
      </c>
      <c r="G11" s="1" t="s">
        <v>500</v>
      </c>
      <c r="I11" s="23">
        <v>7101009</v>
      </c>
      <c r="K11" s="1" t="s">
        <v>1584</v>
      </c>
      <c r="L11" s="1" t="s">
        <v>502</v>
      </c>
    </row>
    <row r="12" spans="1:12" ht="15.75" x14ac:dyDescent="0.25">
      <c r="A12" s="1" t="s">
        <v>80</v>
      </c>
      <c r="B12" t="s">
        <v>483</v>
      </c>
      <c r="C12" t="s">
        <v>38</v>
      </c>
      <c r="D12" s="1" t="s">
        <v>428</v>
      </c>
      <c r="E12" t="s">
        <v>510</v>
      </c>
      <c r="F12" t="s">
        <v>79</v>
      </c>
      <c r="G12" s="1" t="s">
        <v>408</v>
      </c>
      <c r="I12" s="23">
        <v>7101010</v>
      </c>
      <c r="K12" s="1" t="s">
        <v>511</v>
      </c>
      <c r="L12" s="1" t="s">
        <v>428</v>
      </c>
    </row>
    <row r="13" spans="1:12" ht="30" x14ac:dyDescent="0.25">
      <c r="A13" s="1" t="s">
        <v>82</v>
      </c>
      <c r="B13" t="s">
        <v>483</v>
      </c>
      <c r="C13" t="s">
        <v>38</v>
      </c>
      <c r="D13" s="1" t="s">
        <v>512</v>
      </c>
      <c r="E13" t="s">
        <v>513</v>
      </c>
      <c r="F13" t="s">
        <v>81</v>
      </c>
      <c r="G13" s="1" t="s">
        <v>514</v>
      </c>
      <c r="I13" s="23">
        <v>7101011</v>
      </c>
      <c r="K13" s="1" t="s">
        <v>515</v>
      </c>
      <c r="L13" s="1" t="s">
        <v>512</v>
      </c>
    </row>
    <row r="14" spans="1:12" ht="15.75" x14ac:dyDescent="0.25">
      <c r="A14" s="1" t="s">
        <v>84</v>
      </c>
      <c r="B14" t="s">
        <v>483</v>
      </c>
      <c r="C14" t="s">
        <v>38</v>
      </c>
      <c r="D14" s="1" t="s">
        <v>492</v>
      </c>
      <c r="E14" t="s">
        <v>516</v>
      </c>
      <c r="F14" t="s">
        <v>83</v>
      </c>
      <c r="G14" s="1" t="s">
        <v>494</v>
      </c>
      <c r="I14" s="23">
        <v>7101012</v>
      </c>
      <c r="K14" s="1" t="s">
        <v>517</v>
      </c>
      <c r="L14" s="1" t="s">
        <v>492</v>
      </c>
    </row>
    <row r="15" spans="1:12" ht="45" x14ac:dyDescent="0.25">
      <c r="A15" s="1" t="s">
        <v>86</v>
      </c>
      <c r="B15" t="s">
        <v>483</v>
      </c>
      <c r="C15" t="s">
        <v>38</v>
      </c>
      <c r="D15" s="1" t="s">
        <v>512</v>
      </c>
      <c r="E15" t="s">
        <v>518</v>
      </c>
      <c r="F15" t="s">
        <v>85</v>
      </c>
      <c r="G15" s="1" t="s">
        <v>519</v>
      </c>
      <c r="I15" s="23">
        <v>7101013</v>
      </c>
      <c r="K15" s="1" t="s">
        <v>520</v>
      </c>
      <c r="L15" s="1" t="s">
        <v>512</v>
      </c>
    </row>
    <row r="16" spans="1:12" ht="15.75" x14ac:dyDescent="0.25">
      <c r="A16" s="1" t="s">
        <v>88</v>
      </c>
      <c r="B16" t="s">
        <v>483</v>
      </c>
      <c r="C16" t="s">
        <v>38</v>
      </c>
      <c r="D16" s="1" t="s">
        <v>488</v>
      </c>
      <c r="E16" t="s">
        <v>521</v>
      </c>
      <c r="F16" t="s">
        <v>87</v>
      </c>
      <c r="G16" s="1" t="s">
        <v>399</v>
      </c>
      <c r="I16" s="23">
        <v>7101014</v>
      </c>
      <c r="K16" s="1" t="s">
        <v>522</v>
      </c>
      <c r="L16" s="1" t="s">
        <v>488</v>
      </c>
    </row>
    <row r="17" spans="1:12" ht="30" x14ac:dyDescent="0.25">
      <c r="A17" s="1" t="s">
        <v>90</v>
      </c>
      <c r="B17" t="s">
        <v>483</v>
      </c>
      <c r="C17" t="s">
        <v>38</v>
      </c>
      <c r="D17" s="1" t="s">
        <v>523</v>
      </c>
      <c r="E17" t="s">
        <v>524</v>
      </c>
      <c r="F17" t="s">
        <v>89</v>
      </c>
      <c r="G17" s="1" t="s">
        <v>494</v>
      </c>
      <c r="I17" s="23">
        <v>7101015</v>
      </c>
      <c r="K17" s="1" t="s">
        <v>525</v>
      </c>
      <c r="L17" s="1" t="s">
        <v>523</v>
      </c>
    </row>
    <row r="18" spans="1:12" ht="15.75" x14ac:dyDescent="0.25">
      <c r="A18" s="1" t="s">
        <v>92</v>
      </c>
      <c r="B18" t="s">
        <v>483</v>
      </c>
      <c r="C18" t="s">
        <v>38</v>
      </c>
      <c r="D18" s="1" t="s">
        <v>488</v>
      </c>
      <c r="E18" t="s">
        <v>526</v>
      </c>
      <c r="F18" t="s">
        <v>91</v>
      </c>
      <c r="G18" s="1" t="s">
        <v>527</v>
      </c>
      <c r="I18" s="23">
        <v>7101016</v>
      </c>
      <c r="K18" s="1" t="s">
        <v>528</v>
      </c>
      <c r="L18" s="1" t="s">
        <v>488</v>
      </c>
    </row>
    <row r="19" spans="1:12" ht="15.75" x14ac:dyDescent="0.25">
      <c r="A19" s="1" t="s">
        <v>94</v>
      </c>
      <c r="B19" t="s">
        <v>483</v>
      </c>
      <c r="C19" t="s">
        <v>38</v>
      </c>
      <c r="D19" s="1" t="s">
        <v>428</v>
      </c>
      <c r="E19" t="s">
        <v>529</v>
      </c>
      <c r="F19" t="s">
        <v>93</v>
      </c>
      <c r="G19" s="1" t="s">
        <v>494</v>
      </c>
      <c r="I19" s="23">
        <v>7101017</v>
      </c>
      <c r="K19" s="1" t="s">
        <v>530</v>
      </c>
      <c r="L19" s="1" t="s">
        <v>428</v>
      </c>
    </row>
    <row r="20" spans="1:12" ht="15.75" x14ac:dyDescent="0.25">
      <c r="A20" s="1" t="s">
        <v>96</v>
      </c>
      <c r="B20" t="s">
        <v>483</v>
      </c>
      <c r="C20" t="s">
        <v>38</v>
      </c>
      <c r="D20" s="1" t="s">
        <v>531</v>
      </c>
      <c r="E20" t="s">
        <v>659</v>
      </c>
      <c r="F20" t="s">
        <v>95</v>
      </c>
      <c r="G20" s="1" t="s">
        <v>331</v>
      </c>
      <c r="I20" s="23">
        <v>7101018</v>
      </c>
      <c r="K20" s="1" t="s">
        <v>1586</v>
      </c>
      <c r="L20" s="1" t="s">
        <v>531</v>
      </c>
    </row>
    <row r="21" spans="1:12" ht="30" x14ac:dyDescent="0.25">
      <c r="A21" s="1" t="s">
        <v>98</v>
      </c>
      <c r="B21" t="s">
        <v>483</v>
      </c>
      <c r="C21" t="s">
        <v>38</v>
      </c>
      <c r="D21" s="1" t="s">
        <v>492</v>
      </c>
      <c r="E21" t="s">
        <v>532</v>
      </c>
      <c r="F21" t="s">
        <v>97</v>
      </c>
      <c r="G21" s="1" t="s">
        <v>533</v>
      </c>
      <c r="I21" s="23">
        <v>7101019</v>
      </c>
      <c r="K21" s="1" t="s">
        <v>534</v>
      </c>
      <c r="L21" s="1" t="s">
        <v>492</v>
      </c>
    </row>
    <row r="22" spans="1:12" ht="30" x14ac:dyDescent="0.25">
      <c r="A22" s="1" t="s">
        <v>100</v>
      </c>
      <c r="B22" t="s">
        <v>483</v>
      </c>
      <c r="C22" t="s">
        <v>38</v>
      </c>
      <c r="D22" s="1" t="s">
        <v>535</v>
      </c>
      <c r="E22" t="s">
        <v>536</v>
      </c>
      <c r="F22" t="s">
        <v>99</v>
      </c>
      <c r="G22" s="1" t="s">
        <v>494</v>
      </c>
      <c r="I22" s="23">
        <v>7101020</v>
      </c>
      <c r="K22" s="1" t="s">
        <v>537</v>
      </c>
      <c r="L22" s="1" t="s">
        <v>535</v>
      </c>
    </row>
    <row r="23" spans="1:12" ht="30" x14ac:dyDescent="0.25">
      <c r="A23" s="1" t="s">
        <v>102</v>
      </c>
      <c r="B23" t="s">
        <v>483</v>
      </c>
      <c r="C23" t="s">
        <v>38</v>
      </c>
      <c r="D23" s="1" t="s">
        <v>535</v>
      </c>
      <c r="E23" t="s">
        <v>538</v>
      </c>
      <c r="F23" t="s">
        <v>101</v>
      </c>
      <c r="G23" s="1" t="s">
        <v>494</v>
      </c>
      <c r="I23" s="23">
        <v>7101021</v>
      </c>
      <c r="K23" s="1" t="s">
        <v>537</v>
      </c>
      <c r="L23" s="1" t="s">
        <v>535</v>
      </c>
    </row>
    <row r="24" spans="1:12" ht="15.75" x14ac:dyDescent="0.25">
      <c r="A24" s="1" t="s">
        <v>104</v>
      </c>
      <c r="B24" t="s">
        <v>483</v>
      </c>
      <c r="C24" t="s">
        <v>38</v>
      </c>
      <c r="D24" s="1" t="s">
        <v>531</v>
      </c>
      <c r="E24" t="s">
        <v>539</v>
      </c>
      <c r="F24" t="s">
        <v>103</v>
      </c>
      <c r="G24" s="1" t="s">
        <v>411</v>
      </c>
      <c r="I24" s="23">
        <v>7101022</v>
      </c>
      <c r="K24" s="1" t="s">
        <v>540</v>
      </c>
      <c r="L24" s="1" t="s">
        <v>531</v>
      </c>
    </row>
    <row r="25" spans="1:12" ht="30" x14ac:dyDescent="0.25">
      <c r="A25" s="1" t="s">
        <v>106</v>
      </c>
      <c r="B25" t="s">
        <v>483</v>
      </c>
      <c r="C25" t="s">
        <v>38</v>
      </c>
      <c r="D25" s="1" t="s">
        <v>512</v>
      </c>
      <c r="E25" t="s">
        <v>541</v>
      </c>
      <c r="F25" t="s">
        <v>105</v>
      </c>
      <c r="G25" s="1" t="s">
        <v>486</v>
      </c>
      <c r="I25" s="23">
        <v>7101023</v>
      </c>
      <c r="K25" s="1" t="s">
        <v>542</v>
      </c>
      <c r="L25" s="1" t="s">
        <v>512</v>
      </c>
    </row>
    <row r="26" spans="1:12" ht="30" x14ac:dyDescent="0.25">
      <c r="A26" s="1" t="s">
        <v>108</v>
      </c>
      <c r="B26" t="s">
        <v>483</v>
      </c>
      <c r="C26" t="s">
        <v>38</v>
      </c>
      <c r="D26" s="1" t="s">
        <v>512</v>
      </c>
      <c r="E26" t="s">
        <v>543</v>
      </c>
      <c r="F26" t="s">
        <v>107</v>
      </c>
      <c r="G26" s="1" t="s">
        <v>486</v>
      </c>
      <c r="I26" s="23">
        <v>7101024</v>
      </c>
      <c r="K26" s="1" t="s">
        <v>544</v>
      </c>
      <c r="L26" s="1" t="s">
        <v>512</v>
      </c>
    </row>
    <row r="27" spans="1:12" ht="30" x14ac:dyDescent="0.25">
      <c r="A27" s="1" t="s">
        <v>110</v>
      </c>
      <c r="B27" t="s">
        <v>483</v>
      </c>
      <c r="C27" t="s">
        <v>38</v>
      </c>
      <c r="D27" s="1" t="s">
        <v>484</v>
      </c>
      <c r="E27" t="s">
        <v>545</v>
      </c>
      <c r="F27" t="s">
        <v>109</v>
      </c>
      <c r="G27" s="1" t="s">
        <v>399</v>
      </c>
      <c r="I27" s="23">
        <v>7101025</v>
      </c>
      <c r="K27" s="1" t="s">
        <v>546</v>
      </c>
      <c r="L27" s="1" t="s">
        <v>484</v>
      </c>
    </row>
    <row r="28" spans="1:12" ht="15.75" x14ac:dyDescent="0.25">
      <c r="A28" s="1" t="s">
        <v>112</v>
      </c>
      <c r="B28" t="s">
        <v>483</v>
      </c>
      <c r="C28" t="s">
        <v>38</v>
      </c>
      <c r="D28" s="1" t="s">
        <v>502</v>
      </c>
      <c r="E28" t="s">
        <v>547</v>
      </c>
      <c r="F28" t="s">
        <v>111</v>
      </c>
      <c r="G28" s="1" t="s">
        <v>486</v>
      </c>
      <c r="I28" s="23">
        <v>7101026</v>
      </c>
      <c r="K28" s="1" t="s">
        <v>548</v>
      </c>
      <c r="L28" s="1" t="s">
        <v>502</v>
      </c>
    </row>
    <row r="29" spans="1:12" ht="45" x14ac:dyDescent="0.25">
      <c r="A29" s="1" t="s">
        <v>114</v>
      </c>
      <c r="B29" t="s">
        <v>483</v>
      </c>
      <c r="C29" t="s">
        <v>38</v>
      </c>
      <c r="D29" s="1" t="s">
        <v>484</v>
      </c>
      <c r="E29" t="s">
        <v>549</v>
      </c>
      <c r="F29" t="s">
        <v>113</v>
      </c>
      <c r="G29" s="1" t="s">
        <v>550</v>
      </c>
      <c r="I29" s="23">
        <v>7101027</v>
      </c>
      <c r="K29" s="1" t="s">
        <v>551</v>
      </c>
      <c r="L29" s="1" t="s">
        <v>484</v>
      </c>
    </row>
    <row r="30" spans="1:12" ht="15.75" x14ac:dyDescent="0.25">
      <c r="A30" s="1" t="s">
        <v>116</v>
      </c>
      <c r="B30" t="s">
        <v>483</v>
      </c>
      <c r="C30" t="s">
        <v>38</v>
      </c>
      <c r="D30" s="1" t="s">
        <v>531</v>
      </c>
      <c r="E30" t="s">
        <v>552</v>
      </c>
      <c r="F30" t="s">
        <v>115</v>
      </c>
      <c r="G30" s="1" t="s">
        <v>408</v>
      </c>
      <c r="I30" s="23">
        <v>7101028</v>
      </c>
      <c r="K30" s="1" t="s">
        <v>553</v>
      </c>
      <c r="L30" s="1" t="s">
        <v>531</v>
      </c>
    </row>
    <row r="31" spans="1:12" ht="30" x14ac:dyDescent="0.25">
      <c r="A31" s="1" t="s">
        <v>118</v>
      </c>
      <c r="B31" t="s">
        <v>483</v>
      </c>
      <c r="C31" t="s">
        <v>38</v>
      </c>
      <c r="D31" s="1" t="s">
        <v>484</v>
      </c>
      <c r="E31" t="s">
        <v>554</v>
      </c>
      <c r="F31" t="s">
        <v>117</v>
      </c>
      <c r="G31" s="1" t="s">
        <v>399</v>
      </c>
      <c r="I31" s="23">
        <v>7101029</v>
      </c>
      <c r="K31" s="1" t="s">
        <v>555</v>
      </c>
      <c r="L31" s="1" t="s">
        <v>484</v>
      </c>
    </row>
    <row r="32" spans="1:12" ht="15.75" x14ac:dyDescent="0.25">
      <c r="A32" s="1" t="s">
        <v>120</v>
      </c>
      <c r="B32" t="s">
        <v>483</v>
      </c>
      <c r="C32" t="s">
        <v>38</v>
      </c>
      <c r="D32" s="1" t="s">
        <v>535</v>
      </c>
      <c r="E32" t="s">
        <v>556</v>
      </c>
      <c r="F32" t="s">
        <v>119</v>
      </c>
      <c r="G32" s="1" t="s">
        <v>490</v>
      </c>
      <c r="I32" s="23">
        <v>7101030</v>
      </c>
      <c r="K32" s="1" t="s">
        <v>557</v>
      </c>
      <c r="L32" s="1" t="s">
        <v>535</v>
      </c>
    </row>
    <row r="33" spans="1:12" ht="15.75" x14ac:dyDescent="0.25">
      <c r="A33" s="1" t="s">
        <v>122</v>
      </c>
      <c r="B33" t="s">
        <v>483</v>
      </c>
      <c r="C33" t="s">
        <v>38</v>
      </c>
      <c r="D33" s="1" t="s">
        <v>428</v>
      </c>
      <c r="E33" t="s">
        <v>558</v>
      </c>
      <c r="F33" t="s">
        <v>121</v>
      </c>
      <c r="G33" s="1" t="s">
        <v>494</v>
      </c>
      <c r="I33" s="23">
        <v>7101031</v>
      </c>
      <c r="K33" s="1" t="s">
        <v>559</v>
      </c>
      <c r="L33" s="1" t="s">
        <v>428</v>
      </c>
    </row>
    <row r="34" spans="1:12" ht="15.75" x14ac:dyDescent="0.25">
      <c r="A34" s="1" t="s">
        <v>124</v>
      </c>
      <c r="B34" t="s">
        <v>483</v>
      </c>
      <c r="C34" t="s">
        <v>38</v>
      </c>
      <c r="D34" s="1" t="s">
        <v>502</v>
      </c>
      <c r="E34" t="s">
        <v>560</v>
      </c>
      <c r="F34" t="s">
        <v>123</v>
      </c>
      <c r="G34" s="1" t="s">
        <v>486</v>
      </c>
      <c r="I34" s="23">
        <v>7101032</v>
      </c>
      <c r="K34" s="1" t="s">
        <v>561</v>
      </c>
      <c r="L34" s="1" t="s">
        <v>502</v>
      </c>
    </row>
    <row r="35" spans="1:12" ht="15.75" x14ac:dyDescent="0.25">
      <c r="A35" s="1" t="s">
        <v>126</v>
      </c>
      <c r="B35" t="s">
        <v>483</v>
      </c>
      <c r="C35" t="s">
        <v>38</v>
      </c>
      <c r="D35" s="1" t="s">
        <v>531</v>
      </c>
      <c r="E35" t="s">
        <v>562</v>
      </c>
      <c r="F35" t="s">
        <v>125</v>
      </c>
      <c r="G35" s="1" t="s">
        <v>494</v>
      </c>
      <c r="I35" s="23">
        <v>7101033</v>
      </c>
      <c r="K35" s="1" t="s">
        <v>563</v>
      </c>
      <c r="L35" s="1" t="s">
        <v>531</v>
      </c>
    </row>
    <row r="36" spans="1:12" ht="15.75" x14ac:dyDescent="0.25">
      <c r="A36" s="1" t="s">
        <v>128</v>
      </c>
      <c r="B36" t="s">
        <v>483</v>
      </c>
      <c r="C36" t="s">
        <v>38</v>
      </c>
      <c r="D36" s="1" t="s">
        <v>492</v>
      </c>
      <c r="E36" t="s">
        <v>564</v>
      </c>
      <c r="F36" t="s">
        <v>127</v>
      </c>
      <c r="G36" s="1" t="s">
        <v>494</v>
      </c>
      <c r="I36" s="23">
        <v>7101034</v>
      </c>
      <c r="K36" s="1" t="s">
        <v>565</v>
      </c>
      <c r="L36" s="1" t="s">
        <v>492</v>
      </c>
    </row>
    <row r="37" spans="1:12" ht="30" x14ac:dyDescent="0.25">
      <c r="A37" s="1" t="s">
        <v>130</v>
      </c>
      <c r="B37" t="s">
        <v>483</v>
      </c>
      <c r="C37" t="s">
        <v>38</v>
      </c>
      <c r="D37" s="1" t="s">
        <v>512</v>
      </c>
      <c r="E37" t="s">
        <v>566</v>
      </c>
      <c r="F37" t="s">
        <v>129</v>
      </c>
      <c r="G37" s="1" t="s">
        <v>494</v>
      </c>
      <c r="I37" s="23">
        <v>7101035</v>
      </c>
      <c r="K37" s="1" t="s">
        <v>567</v>
      </c>
      <c r="L37" s="1" t="s">
        <v>512</v>
      </c>
    </row>
    <row r="38" spans="1:12" ht="15.75" x14ac:dyDescent="0.25">
      <c r="A38" s="1" t="s">
        <v>132</v>
      </c>
      <c r="B38" t="s">
        <v>483</v>
      </c>
      <c r="C38" t="s">
        <v>38</v>
      </c>
      <c r="D38" s="1" t="s">
        <v>502</v>
      </c>
      <c r="E38" t="s">
        <v>568</v>
      </c>
      <c r="F38" t="s">
        <v>131</v>
      </c>
      <c r="G38" s="1" t="s">
        <v>569</v>
      </c>
      <c r="I38" s="23">
        <v>7101036</v>
      </c>
      <c r="K38" s="1" t="s">
        <v>570</v>
      </c>
      <c r="L38" s="1" t="s">
        <v>502</v>
      </c>
    </row>
    <row r="39" spans="1:12" ht="30" x14ac:dyDescent="0.25">
      <c r="A39" s="1" t="s">
        <v>134</v>
      </c>
      <c r="B39" t="s">
        <v>483</v>
      </c>
      <c r="C39" t="s">
        <v>38</v>
      </c>
      <c r="D39" s="1" t="s">
        <v>484</v>
      </c>
      <c r="E39" t="s">
        <v>571</v>
      </c>
      <c r="F39" t="s">
        <v>133</v>
      </c>
      <c r="G39" s="1" t="s">
        <v>399</v>
      </c>
      <c r="I39" s="23">
        <v>7101037</v>
      </c>
      <c r="K39" s="1" t="s">
        <v>572</v>
      </c>
      <c r="L39" s="1" t="s">
        <v>484</v>
      </c>
    </row>
    <row r="40" spans="1:12" ht="15.75" x14ac:dyDescent="0.25">
      <c r="A40" s="1" t="s">
        <v>136</v>
      </c>
      <c r="B40" t="s">
        <v>483</v>
      </c>
      <c r="C40" t="s">
        <v>38</v>
      </c>
      <c r="D40" s="1" t="s">
        <v>531</v>
      </c>
      <c r="E40" t="s">
        <v>573</v>
      </c>
      <c r="F40" t="s">
        <v>135</v>
      </c>
      <c r="G40" s="1" t="s">
        <v>408</v>
      </c>
      <c r="I40" s="23">
        <v>7101038</v>
      </c>
      <c r="K40" s="1" t="s">
        <v>1585</v>
      </c>
      <c r="L40" s="1" t="s">
        <v>531</v>
      </c>
    </row>
    <row r="41" spans="1:12" ht="45" x14ac:dyDescent="0.25">
      <c r="A41" s="1" t="s">
        <v>138</v>
      </c>
      <c r="B41" t="s">
        <v>483</v>
      </c>
      <c r="C41" t="s">
        <v>38</v>
      </c>
      <c r="D41" s="1" t="s">
        <v>492</v>
      </c>
      <c r="E41" t="s">
        <v>574</v>
      </c>
      <c r="F41" t="s">
        <v>137</v>
      </c>
      <c r="G41" s="1" t="s">
        <v>575</v>
      </c>
      <c r="I41" s="23">
        <v>7101039</v>
      </c>
      <c r="K41" s="1" t="s">
        <v>576</v>
      </c>
      <c r="L41" s="1" t="s">
        <v>492</v>
      </c>
    </row>
    <row r="42" spans="1:12" ht="15.75" x14ac:dyDescent="0.25">
      <c r="A42" s="1" t="s">
        <v>140</v>
      </c>
      <c r="B42" t="s">
        <v>483</v>
      </c>
      <c r="C42" t="s">
        <v>38</v>
      </c>
      <c r="D42" s="1" t="s">
        <v>488</v>
      </c>
      <c r="E42" t="s">
        <v>577</v>
      </c>
      <c r="F42" t="s">
        <v>139</v>
      </c>
      <c r="G42" s="1" t="s">
        <v>399</v>
      </c>
      <c r="I42" s="23">
        <v>7101040</v>
      </c>
      <c r="K42" s="1" t="s">
        <v>578</v>
      </c>
      <c r="L42" s="1" t="s">
        <v>488</v>
      </c>
    </row>
    <row r="43" spans="1:12" ht="30" x14ac:dyDescent="0.25">
      <c r="A43" s="1" t="s">
        <v>142</v>
      </c>
      <c r="B43" t="s">
        <v>483</v>
      </c>
      <c r="C43" t="s">
        <v>38</v>
      </c>
      <c r="D43" s="1" t="s">
        <v>535</v>
      </c>
      <c r="E43" t="s">
        <v>579</v>
      </c>
      <c r="F43" t="s">
        <v>141</v>
      </c>
      <c r="G43" s="1" t="s">
        <v>497</v>
      </c>
      <c r="I43" s="23">
        <v>7101041</v>
      </c>
      <c r="K43" s="1" t="s">
        <v>580</v>
      </c>
      <c r="L43" s="1" t="s">
        <v>535</v>
      </c>
    </row>
    <row r="44" spans="1:12" ht="30" x14ac:dyDescent="0.25">
      <c r="A44" s="1" t="s">
        <v>148</v>
      </c>
      <c r="B44" t="s">
        <v>581</v>
      </c>
      <c r="C44" t="s">
        <v>39</v>
      </c>
      <c r="D44" s="1" t="s">
        <v>512</v>
      </c>
      <c r="E44" t="s">
        <v>582</v>
      </c>
      <c r="F44" t="s">
        <v>146</v>
      </c>
      <c r="G44" s="1" t="s">
        <v>486</v>
      </c>
      <c r="I44" s="23">
        <v>7102001</v>
      </c>
      <c r="K44" s="1" t="s">
        <v>583</v>
      </c>
      <c r="L44" s="1" t="s">
        <v>512</v>
      </c>
    </row>
    <row r="45" spans="1:12" ht="15.75" x14ac:dyDescent="0.25">
      <c r="A45" s="1" t="s">
        <v>151</v>
      </c>
      <c r="B45" t="s">
        <v>581</v>
      </c>
      <c r="C45" t="s">
        <v>39</v>
      </c>
      <c r="D45" s="1" t="s">
        <v>535</v>
      </c>
      <c r="E45" t="s">
        <v>584</v>
      </c>
      <c r="F45" t="s">
        <v>150</v>
      </c>
      <c r="G45" s="1" t="s">
        <v>494</v>
      </c>
      <c r="I45" s="23">
        <v>7102002</v>
      </c>
      <c r="K45" s="1" t="s">
        <v>585</v>
      </c>
      <c r="L45" s="1" t="s">
        <v>535</v>
      </c>
    </row>
    <row r="46" spans="1:12" ht="30" x14ac:dyDescent="0.25">
      <c r="A46" s="1" t="s">
        <v>153</v>
      </c>
      <c r="B46" t="s">
        <v>581</v>
      </c>
      <c r="C46" t="s">
        <v>39</v>
      </c>
      <c r="D46" s="1" t="s">
        <v>488</v>
      </c>
      <c r="E46" t="s">
        <v>586</v>
      </c>
      <c r="F46" t="s">
        <v>152</v>
      </c>
      <c r="G46" s="1" t="s">
        <v>497</v>
      </c>
      <c r="I46" s="23">
        <v>7102003</v>
      </c>
      <c r="K46" s="1" t="s">
        <v>587</v>
      </c>
      <c r="L46" s="1" t="s">
        <v>488</v>
      </c>
    </row>
    <row r="47" spans="1:12" ht="15.75" x14ac:dyDescent="0.25">
      <c r="A47" s="1" t="s">
        <v>155</v>
      </c>
      <c r="B47" t="s">
        <v>581</v>
      </c>
      <c r="C47" t="s">
        <v>39</v>
      </c>
      <c r="D47" s="1" t="s">
        <v>492</v>
      </c>
      <c r="E47" t="s">
        <v>588</v>
      </c>
      <c r="F47" t="s">
        <v>154</v>
      </c>
      <c r="G47" s="1" t="s">
        <v>494</v>
      </c>
      <c r="I47" s="23">
        <v>7102004</v>
      </c>
      <c r="K47" s="1" t="s">
        <v>589</v>
      </c>
      <c r="L47" s="1" t="s">
        <v>492</v>
      </c>
    </row>
    <row r="48" spans="1:12" ht="15.75" x14ac:dyDescent="0.25">
      <c r="A48" s="1" t="s">
        <v>161</v>
      </c>
      <c r="B48" t="s">
        <v>581</v>
      </c>
      <c r="C48" t="s">
        <v>39</v>
      </c>
      <c r="D48" s="1" t="s">
        <v>502</v>
      </c>
      <c r="E48" t="s">
        <v>590</v>
      </c>
      <c r="F48" t="s">
        <v>160</v>
      </c>
      <c r="G48" s="1" t="s">
        <v>486</v>
      </c>
      <c r="I48" s="23">
        <v>7102006</v>
      </c>
      <c r="K48" s="1" t="s">
        <v>591</v>
      </c>
      <c r="L48" s="1" t="s">
        <v>502</v>
      </c>
    </row>
    <row r="49" spans="1:12" ht="15.75" x14ac:dyDescent="0.25">
      <c r="A49" s="1" t="s">
        <v>163</v>
      </c>
      <c r="B49" t="s">
        <v>581</v>
      </c>
      <c r="C49" t="s">
        <v>39</v>
      </c>
      <c r="D49" s="1" t="s">
        <v>492</v>
      </c>
      <c r="E49" t="s">
        <v>592</v>
      </c>
      <c r="F49" t="s">
        <v>162</v>
      </c>
      <c r="G49" s="1" t="s">
        <v>494</v>
      </c>
      <c r="I49" s="23">
        <v>7102007</v>
      </c>
      <c r="K49" s="1" t="s">
        <v>593</v>
      </c>
      <c r="L49" s="1" t="s">
        <v>492</v>
      </c>
    </row>
    <row r="50" spans="1:12" ht="45" x14ac:dyDescent="0.25">
      <c r="A50" s="1" t="s">
        <v>165</v>
      </c>
      <c r="B50" t="s">
        <v>594</v>
      </c>
      <c r="C50" t="s">
        <v>39</v>
      </c>
      <c r="D50" s="1" t="s">
        <v>502</v>
      </c>
      <c r="E50" t="s">
        <v>595</v>
      </c>
      <c r="F50" t="s">
        <v>164</v>
      </c>
      <c r="G50" s="1" t="s">
        <v>596</v>
      </c>
      <c r="I50" s="23">
        <v>7102008</v>
      </c>
      <c r="K50" s="1" t="s">
        <v>597</v>
      </c>
      <c r="L50" s="1" t="s">
        <v>502</v>
      </c>
    </row>
    <row r="51" spans="1:12" ht="30" x14ac:dyDescent="0.25">
      <c r="A51" s="1" t="s">
        <v>168</v>
      </c>
      <c r="B51" t="s">
        <v>598</v>
      </c>
      <c r="C51" t="s">
        <v>39</v>
      </c>
      <c r="D51" s="1" t="s">
        <v>502</v>
      </c>
      <c r="E51" t="s">
        <v>599</v>
      </c>
      <c r="F51" t="s">
        <v>166</v>
      </c>
      <c r="G51" s="1" t="s">
        <v>494</v>
      </c>
      <c r="I51" s="23">
        <v>7102009</v>
      </c>
      <c r="K51" s="1" t="s">
        <v>600</v>
      </c>
      <c r="L51" s="1" t="s">
        <v>502</v>
      </c>
    </row>
    <row r="52" spans="1:12" ht="15.75" x14ac:dyDescent="0.25">
      <c r="A52" s="1" t="s">
        <v>170</v>
      </c>
      <c r="B52" t="s">
        <v>581</v>
      </c>
      <c r="C52" t="s">
        <v>39</v>
      </c>
      <c r="D52" s="1" t="s">
        <v>531</v>
      </c>
      <c r="E52" t="s">
        <v>601</v>
      </c>
      <c r="F52" t="s">
        <v>169</v>
      </c>
      <c r="G52" s="1" t="s">
        <v>486</v>
      </c>
      <c r="I52" s="23">
        <v>7102010</v>
      </c>
      <c r="K52" s="1" t="s">
        <v>602</v>
      </c>
      <c r="L52" s="1" t="s">
        <v>531</v>
      </c>
    </row>
    <row r="53" spans="1:12" ht="15.75" x14ac:dyDescent="0.25">
      <c r="A53" s="1" t="s">
        <v>172</v>
      </c>
      <c r="B53" t="s">
        <v>581</v>
      </c>
      <c r="C53" t="s">
        <v>39</v>
      </c>
      <c r="D53" s="1" t="s">
        <v>535</v>
      </c>
      <c r="E53" t="s">
        <v>603</v>
      </c>
      <c r="F53" t="s">
        <v>171</v>
      </c>
      <c r="G53" s="1" t="s">
        <v>494</v>
      </c>
      <c r="I53" s="23">
        <v>7102011</v>
      </c>
      <c r="K53" s="1" t="s">
        <v>604</v>
      </c>
      <c r="L53" s="1" t="s">
        <v>535</v>
      </c>
    </row>
    <row r="54" spans="1:12" ht="60" x14ac:dyDescent="0.25">
      <c r="A54" s="1" t="s">
        <v>174</v>
      </c>
      <c r="B54" t="s">
        <v>605</v>
      </c>
      <c r="C54" t="s">
        <v>39</v>
      </c>
      <c r="D54" s="1" t="s">
        <v>492</v>
      </c>
      <c r="E54" t="s">
        <v>606</v>
      </c>
      <c r="F54" t="s">
        <v>173</v>
      </c>
      <c r="G54" s="1" t="s">
        <v>310</v>
      </c>
      <c r="I54" s="23">
        <v>7102012</v>
      </c>
      <c r="K54" s="1" t="s">
        <v>607</v>
      </c>
      <c r="L54" s="1" t="s">
        <v>492</v>
      </c>
    </row>
    <row r="55" spans="1:12" ht="30" x14ac:dyDescent="0.25">
      <c r="A55" s="1" t="s">
        <v>177</v>
      </c>
      <c r="B55" t="s">
        <v>581</v>
      </c>
      <c r="C55" t="s">
        <v>39</v>
      </c>
      <c r="D55" s="1" t="s">
        <v>512</v>
      </c>
      <c r="E55" t="s">
        <v>608</v>
      </c>
      <c r="F55" t="s">
        <v>175</v>
      </c>
      <c r="G55" s="1" t="s">
        <v>486</v>
      </c>
      <c r="I55" s="23">
        <v>7102013</v>
      </c>
      <c r="K55" s="1" t="s">
        <v>609</v>
      </c>
      <c r="L55" s="1" t="s">
        <v>512</v>
      </c>
    </row>
    <row r="56" spans="1:12" ht="15.75" x14ac:dyDescent="0.25">
      <c r="A56" s="1" t="s">
        <v>179</v>
      </c>
      <c r="B56" t="s">
        <v>581</v>
      </c>
      <c r="C56" t="s">
        <v>39</v>
      </c>
      <c r="D56" s="1" t="s">
        <v>488</v>
      </c>
      <c r="E56" t="s">
        <v>610</v>
      </c>
      <c r="F56" t="s">
        <v>178</v>
      </c>
      <c r="G56" s="1" t="s">
        <v>399</v>
      </c>
      <c r="I56" s="23">
        <v>7102014</v>
      </c>
      <c r="K56" s="1" t="s">
        <v>611</v>
      </c>
      <c r="L56" s="1" t="s">
        <v>488</v>
      </c>
    </row>
    <row r="57" spans="1:12" ht="30" x14ac:dyDescent="0.25">
      <c r="A57" s="1" t="s">
        <v>181</v>
      </c>
      <c r="B57" t="s">
        <v>581</v>
      </c>
      <c r="C57" t="s">
        <v>39</v>
      </c>
      <c r="D57" s="1" t="s">
        <v>484</v>
      </c>
      <c r="E57" t="s">
        <v>612</v>
      </c>
      <c r="F57" t="s">
        <v>180</v>
      </c>
      <c r="G57" s="1" t="s">
        <v>490</v>
      </c>
      <c r="I57" s="23">
        <v>7102015</v>
      </c>
      <c r="K57" s="1" t="s">
        <v>613</v>
      </c>
      <c r="L57" s="1" t="s">
        <v>484</v>
      </c>
    </row>
    <row r="58" spans="1:12" ht="30" x14ac:dyDescent="0.25">
      <c r="A58" s="1" t="s">
        <v>183</v>
      </c>
      <c r="B58" t="s">
        <v>614</v>
      </c>
      <c r="C58" t="s">
        <v>39</v>
      </c>
      <c r="D58" s="1" t="s">
        <v>492</v>
      </c>
      <c r="E58" t="s">
        <v>615</v>
      </c>
      <c r="F58" t="s">
        <v>182</v>
      </c>
      <c r="G58" s="1" t="s">
        <v>616</v>
      </c>
      <c r="I58" s="23">
        <v>7102016</v>
      </c>
      <c r="K58" s="1" t="s">
        <v>617</v>
      </c>
      <c r="L58" s="1" t="s">
        <v>492</v>
      </c>
    </row>
    <row r="59" spans="1:12" ht="30" x14ac:dyDescent="0.25">
      <c r="A59" s="1" t="s">
        <v>186</v>
      </c>
      <c r="B59" t="s">
        <v>581</v>
      </c>
      <c r="C59" t="s">
        <v>39</v>
      </c>
      <c r="D59" s="1" t="s">
        <v>484</v>
      </c>
      <c r="E59" t="s">
        <v>571</v>
      </c>
      <c r="F59" t="s">
        <v>184</v>
      </c>
      <c r="G59" s="1" t="s">
        <v>399</v>
      </c>
      <c r="I59" s="23">
        <v>7102017</v>
      </c>
      <c r="K59" s="1" t="s">
        <v>1587</v>
      </c>
      <c r="L59" s="1" t="s">
        <v>484</v>
      </c>
    </row>
    <row r="60" spans="1:12" ht="15.75" x14ac:dyDescent="0.25">
      <c r="A60" s="1" t="s">
        <v>188</v>
      </c>
      <c r="B60" t="s">
        <v>581</v>
      </c>
      <c r="C60" t="s">
        <v>39</v>
      </c>
      <c r="D60" s="1" t="s">
        <v>531</v>
      </c>
      <c r="E60" t="s">
        <v>618</v>
      </c>
      <c r="F60" t="s">
        <v>187</v>
      </c>
      <c r="G60" s="1" t="s">
        <v>494</v>
      </c>
      <c r="I60" s="23">
        <v>7102018</v>
      </c>
      <c r="K60" s="1" t="s">
        <v>619</v>
      </c>
      <c r="L60" s="1" t="s">
        <v>531</v>
      </c>
    </row>
    <row r="61" spans="1:12" ht="30" x14ac:dyDescent="0.25">
      <c r="A61" s="1" t="s">
        <v>190</v>
      </c>
      <c r="B61" t="s">
        <v>581</v>
      </c>
      <c r="C61" t="s">
        <v>39</v>
      </c>
      <c r="D61" s="1" t="s">
        <v>512</v>
      </c>
      <c r="E61" t="s">
        <v>620</v>
      </c>
      <c r="F61" t="s">
        <v>189</v>
      </c>
      <c r="G61" s="1" t="s">
        <v>514</v>
      </c>
      <c r="I61" s="23">
        <v>7102019</v>
      </c>
      <c r="K61" s="1" t="s">
        <v>621</v>
      </c>
      <c r="L61" s="1" t="s">
        <v>512</v>
      </c>
    </row>
    <row r="62" spans="1:12" ht="45" x14ac:dyDescent="0.25">
      <c r="A62" s="1" t="s">
        <v>192</v>
      </c>
      <c r="B62" t="s">
        <v>598</v>
      </c>
      <c r="C62" t="s">
        <v>39</v>
      </c>
      <c r="D62" s="1" t="s">
        <v>531</v>
      </c>
      <c r="E62" t="s">
        <v>622</v>
      </c>
      <c r="F62" t="s">
        <v>191</v>
      </c>
      <c r="G62" s="1" t="s">
        <v>494</v>
      </c>
      <c r="I62" s="23">
        <v>7102020</v>
      </c>
      <c r="K62" s="1" t="s">
        <v>623</v>
      </c>
      <c r="L62" s="1" t="s">
        <v>624</v>
      </c>
    </row>
    <row r="63" spans="1:12" ht="15.75" x14ac:dyDescent="0.25">
      <c r="A63" s="1" t="s">
        <v>195</v>
      </c>
      <c r="B63" t="s">
        <v>581</v>
      </c>
      <c r="C63" t="s">
        <v>39</v>
      </c>
      <c r="D63" s="1" t="s">
        <v>502</v>
      </c>
      <c r="E63" t="s">
        <v>625</v>
      </c>
      <c r="F63" t="s">
        <v>193</v>
      </c>
      <c r="G63" s="1" t="s">
        <v>626</v>
      </c>
      <c r="I63" s="23">
        <v>7102021</v>
      </c>
      <c r="K63" s="1" t="s">
        <v>627</v>
      </c>
      <c r="L63" s="1" t="s">
        <v>502</v>
      </c>
    </row>
    <row r="64" spans="1:12" ht="15.75" x14ac:dyDescent="0.25">
      <c r="A64" s="1" t="s">
        <v>197</v>
      </c>
      <c r="B64" t="s">
        <v>581</v>
      </c>
      <c r="C64" t="s">
        <v>39</v>
      </c>
      <c r="D64" s="1" t="s">
        <v>488</v>
      </c>
      <c r="E64" t="s">
        <v>628</v>
      </c>
      <c r="F64" t="s">
        <v>196</v>
      </c>
      <c r="G64" s="1" t="s">
        <v>399</v>
      </c>
      <c r="I64" s="23">
        <v>7102022</v>
      </c>
      <c r="K64" s="1" t="s">
        <v>629</v>
      </c>
      <c r="L64" s="1" t="s">
        <v>488</v>
      </c>
    </row>
    <row r="65" spans="1:12" ht="15.75" x14ac:dyDescent="0.25">
      <c r="A65" s="1" t="s">
        <v>199</v>
      </c>
      <c r="B65" t="s">
        <v>614</v>
      </c>
      <c r="C65" t="s">
        <v>39</v>
      </c>
      <c r="D65" s="1" t="s">
        <v>531</v>
      </c>
      <c r="E65" t="s">
        <v>630</v>
      </c>
      <c r="F65" t="s">
        <v>198</v>
      </c>
      <c r="G65" s="1" t="s">
        <v>494</v>
      </c>
      <c r="I65" s="23">
        <v>7102023</v>
      </c>
      <c r="K65" s="1" t="s">
        <v>631</v>
      </c>
      <c r="L65" s="1" t="s">
        <v>531</v>
      </c>
    </row>
    <row r="66" spans="1:12" ht="15.75" x14ac:dyDescent="0.25">
      <c r="A66" s="1" t="s">
        <v>201</v>
      </c>
      <c r="B66" t="s">
        <v>614</v>
      </c>
      <c r="C66" t="s">
        <v>39</v>
      </c>
      <c r="D66" s="1" t="s">
        <v>428</v>
      </c>
      <c r="E66" t="s">
        <v>632</v>
      </c>
      <c r="F66" t="s">
        <v>200</v>
      </c>
      <c r="G66" s="1" t="s">
        <v>494</v>
      </c>
      <c r="I66" s="23">
        <v>7102024</v>
      </c>
      <c r="K66" s="1" t="s">
        <v>633</v>
      </c>
      <c r="L66" s="1" t="s">
        <v>428</v>
      </c>
    </row>
    <row r="67" spans="1:12" ht="75" x14ac:dyDescent="0.25">
      <c r="A67" s="1" t="s">
        <v>204</v>
      </c>
      <c r="B67" t="s">
        <v>598</v>
      </c>
      <c r="C67" t="s">
        <v>39</v>
      </c>
      <c r="D67" s="1" t="s">
        <v>484</v>
      </c>
      <c r="E67" t="s">
        <v>634</v>
      </c>
      <c r="F67" t="s">
        <v>202</v>
      </c>
      <c r="G67" s="1" t="s">
        <v>494</v>
      </c>
      <c r="I67" s="23">
        <v>7102025</v>
      </c>
      <c r="K67" s="1" t="s">
        <v>635</v>
      </c>
      <c r="L67" s="1" t="s">
        <v>484</v>
      </c>
    </row>
    <row r="68" spans="1:12" ht="15.75" x14ac:dyDescent="0.25">
      <c r="A68" s="1" t="s">
        <v>206</v>
      </c>
      <c r="B68" t="s">
        <v>581</v>
      </c>
      <c r="C68" t="s">
        <v>39</v>
      </c>
      <c r="D68" s="1" t="s">
        <v>535</v>
      </c>
      <c r="E68" t="s">
        <v>636</v>
      </c>
      <c r="F68" t="s">
        <v>205</v>
      </c>
      <c r="G68" s="1" t="s">
        <v>494</v>
      </c>
      <c r="I68" s="23">
        <v>7102026</v>
      </c>
      <c r="K68" s="1" t="s">
        <v>637</v>
      </c>
      <c r="L68" s="1" t="s">
        <v>535</v>
      </c>
    </row>
    <row r="69" spans="1:12" ht="15.75" x14ac:dyDescent="0.25">
      <c r="A69" s="1" t="s">
        <v>208</v>
      </c>
      <c r="B69" t="s">
        <v>581</v>
      </c>
      <c r="C69" t="s">
        <v>39</v>
      </c>
      <c r="D69" s="1" t="s">
        <v>492</v>
      </c>
      <c r="E69" t="s">
        <v>638</v>
      </c>
      <c r="F69" t="s">
        <v>207</v>
      </c>
      <c r="G69" s="1" t="s">
        <v>494</v>
      </c>
      <c r="I69" s="23">
        <v>7102027</v>
      </c>
      <c r="K69" s="1" t="s">
        <v>639</v>
      </c>
      <c r="L69" s="1" t="s">
        <v>492</v>
      </c>
    </row>
    <row r="70" spans="1:12" ht="15.75" x14ac:dyDescent="0.25">
      <c r="A70" s="1" t="s">
        <v>210</v>
      </c>
      <c r="B70" t="s">
        <v>614</v>
      </c>
      <c r="C70" t="s">
        <v>39</v>
      </c>
      <c r="D70" s="1" t="s">
        <v>488</v>
      </c>
      <c r="E70" t="s">
        <v>640</v>
      </c>
      <c r="F70" t="s">
        <v>209</v>
      </c>
      <c r="G70" s="1" t="s">
        <v>494</v>
      </c>
      <c r="I70" s="23">
        <v>7102028</v>
      </c>
      <c r="K70" s="1" t="s">
        <v>641</v>
      </c>
      <c r="L70" s="1" t="s">
        <v>488</v>
      </c>
    </row>
    <row r="71" spans="1:12" ht="75" x14ac:dyDescent="0.25">
      <c r="A71" s="1" t="s">
        <v>216</v>
      </c>
      <c r="B71" t="s">
        <v>642</v>
      </c>
      <c r="C71" t="s">
        <v>40</v>
      </c>
      <c r="D71" s="1" t="s">
        <v>492</v>
      </c>
      <c r="E71" t="s">
        <v>643</v>
      </c>
      <c r="F71" t="s">
        <v>215</v>
      </c>
      <c r="G71" s="1" t="s">
        <v>644</v>
      </c>
      <c r="I71" s="23">
        <v>7103002</v>
      </c>
      <c r="K71" s="1" t="s">
        <v>645</v>
      </c>
      <c r="L71" s="1" t="s">
        <v>492</v>
      </c>
    </row>
    <row r="72" spans="1:12" ht="45" x14ac:dyDescent="0.25">
      <c r="A72" s="1" t="s">
        <v>218</v>
      </c>
      <c r="B72" t="s">
        <v>646</v>
      </c>
      <c r="C72" t="s">
        <v>40</v>
      </c>
      <c r="D72" s="1" t="s">
        <v>502</v>
      </c>
      <c r="E72" t="s">
        <v>647</v>
      </c>
      <c r="F72" t="s">
        <v>217</v>
      </c>
      <c r="G72" s="1" t="s">
        <v>494</v>
      </c>
      <c r="I72" s="23">
        <v>7103003</v>
      </c>
      <c r="K72" s="1" t="s">
        <v>648</v>
      </c>
      <c r="L72" s="1" t="s">
        <v>649</v>
      </c>
    </row>
    <row r="73" spans="1:12" ht="45" x14ac:dyDescent="0.25">
      <c r="A73" s="1" t="s">
        <v>220</v>
      </c>
      <c r="B73" t="s">
        <v>646</v>
      </c>
      <c r="C73" t="s">
        <v>40</v>
      </c>
      <c r="D73" s="1" t="s">
        <v>502</v>
      </c>
      <c r="E73" t="s">
        <v>650</v>
      </c>
      <c r="F73" t="s">
        <v>219</v>
      </c>
      <c r="G73" s="1" t="s">
        <v>494</v>
      </c>
      <c r="I73" s="23">
        <v>7103004</v>
      </c>
      <c r="K73" s="1" t="s">
        <v>648</v>
      </c>
      <c r="L73" s="1" t="s">
        <v>649</v>
      </c>
    </row>
    <row r="74" spans="1:12" ht="60" x14ac:dyDescent="0.25">
      <c r="A74" s="1" t="s">
        <v>222</v>
      </c>
      <c r="B74" t="s">
        <v>646</v>
      </c>
      <c r="C74" t="s">
        <v>40</v>
      </c>
      <c r="D74" s="1" t="s">
        <v>502</v>
      </c>
      <c r="E74" t="s">
        <v>560</v>
      </c>
      <c r="F74" t="s">
        <v>221</v>
      </c>
      <c r="G74" s="1" t="s">
        <v>494</v>
      </c>
      <c r="I74" s="23">
        <v>7103005</v>
      </c>
      <c r="K74" s="1" t="s">
        <v>651</v>
      </c>
      <c r="L74" s="1" t="s">
        <v>502</v>
      </c>
    </row>
    <row r="75" spans="1:12" ht="60" x14ac:dyDescent="0.25">
      <c r="A75" s="1" t="s">
        <v>224</v>
      </c>
      <c r="B75" t="s">
        <v>646</v>
      </c>
      <c r="C75" t="s">
        <v>40</v>
      </c>
      <c r="D75" s="1" t="s">
        <v>502</v>
      </c>
      <c r="E75" t="s">
        <v>652</v>
      </c>
      <c r="F75" t="s">
        <v>223</v>
      </c>
      <c r="G75" s="1" t="s">
        <v>399</v>
      </c>
      <c r="I75" s="23">
        <v>7103006</v>
      </c>
      <c r="K75" s="1" t="s">
        <v>651</v>
      </c>
      <c r="L75" s="1" t="s">
        <v>502</v>
      </c>
    </row>
    <row r="76" spans="1:12" ht="75" x14ac:dyDescent="0.25">
      <c r="A76" s="1" t="s">
        <v>226</v>
      </c>
      <c r="B76" t="s">
        <v>646</v>
      </c>
      <c r="C76" t="s">
        <v>40</v>
      </c>
      <c r="D76" s="1" t="s">
        <v>484</v>
      </c>
      <c r="E76" t="s">
        <v>571</v>
      </c>
      <c r="F76" t="s">
        <v>225</v>
      </c>
      <c r="G76" s="1" t="s">
        <v>494</v>
      </c>
      <c r="I76" s="23">
        <v>7103007</v>
      </c>
      <c r="K76" s="1" t="s">
        <v>653</v>
      </c>
      <c r="L76" s="1" t="s">
        <v>484</v>
      </c>
    </row>
    <row r="77" spans="1:12" ht="75" x14ac:dyDescent="0.25">
      <c r="A77" s="1" t="s">
        <v>228</v>
      </c>
      <c r="B77" t="s">
        <v>646</v>
      </c>
      <c r="C77" t="s">
        <v>40</v>
      </c>
      <c r="D77" s="1" t="s">
        <v>484</v>
      </c>
      <c r="E77" t="s">
        <v>654</v>
      </c>
      <c r="F77" t="s">
        <v>227</v>
      </c>
      <c r="G77" s="1" t="s">
        <v>399</v>
      </c>
      <c r="I77" s="23">
        <v>7103008</v>
      </c>
      <c r="K77" s="1" t="s">
        <v>653</v>
      </c>
      <c r="L77" s="1" t="s">
        <v>484</v>
      </c>
    </row>
    <row r="78" spans="1:12" ht="75" x14ac:dyDescent="0.25">
      <c r="A78" s="1" t="s">
        <v>230</v>
      </c>
      <c r="B78" t="s">
        <v>646</v>
      </c>
      <c r="C78" t="s">
        <v>40</v>
      </c>
      <c r="D78" s="1" t="s">
        <v>484</v>
      </c>
      <c r="E78" t="s">
        <v>655</v>
      </c>
      <c r="F78" t="s">
        <v>229</v>
      </c>
      <c r="G78" s="1" t="s">
        <v>399</v>
      </c>
      <c r="I78" s="23">
        <v>7103009</v>
      </c>
      <c r="K78" s="1" t="s">
        <v>653</v>
      </c>
      <c r="L78" s="1" t="s">
        <v>484</v>
      </c>
    </row>
    <row r="79" spans="1:12" ht="75" x14ac:dyDescent="0.25">
      <c r="A79" s="1" t="s">
        <v>232</v>
      </c>
      <c r="B79" t="s">
        <v>646</v>
      </c>
      <c r="C79" t="s">
        <v>40</v>
      </c>
      <c r="D79" s="1" t="s">
        <v>484</v>
      </c>
      <c r="E79" t="s">
        <v>656</v>
      </c>
      <c r="F79" t="s">
        <v>231</v>
      </c>
      <c r="G79" s="1" t="s">
        <v>494</v>
      </c>
      <c r="I79" s="23">
        <v>7103010</v>
      </c>
      <c r="K79" s="1" t="s">
        <v>653</v>
      </c>
      <c r="L79" s="1" t="s">
        <v>484</v>
      </c>
    </row>
    <row r="80" spans="1:12" ht="30" x14ac:dyDescent="0.25">
      <c r="A80" s="1" t="s">
        <v>234</v>
      </c>
      <c r="B80" t="s">
        <v>657</v>
      </c>
      <c r="C80" t="s">
        <v>40</v>
      </c>
      <c r="D80" s="1" t="s">
        <v>488</v>
      </c>
      <c r="E80" t="s">
        <v>521</v>
      </c>
      <c r="F80" t="s">
        <v>233</v>
      </c>
      <c r="G80" s="1" t="s">
        <v>399</v>
      </c>
      <c r="I80" s="23">
        <v>7103011</v>
      </c>
      <c r="K80" s="1" t="s">
        <v>658</v>
      </c>
      <c r="L80" s="1" t="s">
        <v>488</v>
      </c>
    </row>
    <row r="81" spans="1:12" ht="60" x14ac:dyDescent="0.25">
      <c r="A81" s="1" t="s">
        <v>236</v>
      </c>
      <c r="B81" t="s">
        <v>642</v>
      </c>
      <c r="C81" t="s">
        <v>40</v>
      </c>
      <c r="D81" s="1" t="s">
        <v>531</v>
      </c>
      <c r="E81" t="s">
        <v>659</v>
      </c>
      <c r="F81" t="s">
        <v>235</v>
      </c>
      <c r="G81" s="1" t="s">
        <v>494</v>
      </c>
      <c r="I81" s="23">
        <v>7103012</v>
      </c>
      <c r="K81" s="1" t="s">
        <v>660</v>
      </c>
      <c r="L81" s="1" t="s">
        <v>531</v>
      </c>
    </row>
    <row r="82" spans="1:12" ht="90" x14ac:dyDescent="0.25">
      <c r="A82" s="1" t="s">
        <v>238</v>
      </c>
      <c r="B82" t="s">
        <v>657</v>
      </c>
      <c r="C82" t="s">
        <v>40</v>
      </c>
      <c r="D82" s="1" t="s">
        <v>488</v>
      </c>
      <c r="E82" t="s">
        <v>628</v>
      </c>
      <c r="F82" t="s">
        <v>237</v>
      </c>
      <c r="G82" s="1" t="s">
        <v>494</v>
      </c>
      <c r="I82" s="23">
        <v>7103013</v>
      </c>
      <c r="K82" s="1" t="s">
        <v>661</v>
      </c>
      <c r="L82" s="1" t="s">
        <v>488</v>
      </c>
    </row>
    <row r="83" spans="1:12" ht="90" x14ac:dyDescent="0.25">
      <c r="A83" s="1" t="s">
        <v>240</v>
      </c>
      <c r="B83" t="s">
        <v>657</v>
      </c>
      <c r="C83" t="s">
        <v>40</v>
      </c>
      <c r="D83" s="1" t="s">
        <v>488</v>
      </c>
      <c r="E83" t="s">
        <v>662</v>
      </c>
      <c r="F83" t="s">
        <v>239</v>
      </c>
      <c r="G83" s="1" t="s">
        <v>494</v>
      </c>
      <c r="I83" s="23">
        <v>7103014</v>
      </c>
      <c r="K83" s="1" t="s">
        <v>661</v>
      </c>
      <c r="L83" s="1" t="s">
        <v>488</v>
      </c>
    </row>
    <row r="84" spans="1:12" ht="90" x14ac:dyDescent="0.25">
      <c r="A84" s="1" t="s">
        <v>242</v>
      </c>
      <c r="B84" t="s">
        <v>642</v>
      </c>
      <c r="C84" t="s">
        <v>40</v>
      </c>
      <c r="D84" s="1" t="s">
        <v>488</v>
      </c>
      <c r="E84" t="s">
        <v>663</v>
      </c>
      <c r="F84" t="s">
        <v>241</v>
      </c>
      <c r="G84" s="1" t="s">
        <v>494</v>
      </c>
      <c r="I84" s="23">
        <v>7103015</v>
      </c>
      <c r="K84" s="1" t="s">
        <v>661</v>
      </c>
      <c r="L84" s="1" t="s">
        <v>488</v>
      </c>
    </row>
    <row r="85" spans="1:12" ht="90" x14ac:dyDescent="0.25">
      <c r="A85" s="1" t="s">
        <v>244</v>
      </c>
      <c r="B85" t="s">
        <v>642</v>
      </c>
      <c r="C85" t="s">
        <v>40</v>
      </c>
      <c r="D85" s="1" t="s">
        <v>488</v>
      </c>
      <c r="E85" t="s">
        <v>664</v>
      </c>
      <c r="F85" t="s">
        <v>243</v>
      </c>
      <c r="G85" s="1" t="s">
        <v>399</v>
      </c>
      <c r="I85" s="23">
        <v>7103016</v>
      </c>
      <c r="K85" s="1" t="s">
        <v>661</v>
      </c>
      <c r="L85" s="1" t="s">
        <v>488</v>
      </c>
    </row>
    <row r="86" spans="1:12" ht="75" x14ac:dyDescent="0.25">
      <c r="A86" s="1" t="s">
        <v>246</v>
      </c>
      <c r="B86" t="s">
        <v>642</v>
      </c>
      <c r="C86" t="s">
        <v>40</v>
      </c>
      <c r="D86" s="1" t="s">
        <v>535</v>
      </c>
      <c r="E86" t="s">
        <v>665</v>
      </c>
      <c r="F86" t="s">
        <v>245</v>
      </c>
      <c r="G86" s="1" t="s">
        <v>494</v>
      </c>
      <c r="I86" s="23">
        <v>7103017</v>
      </c>
      <c r="K86" s="1" t="s">
        <v>666</v>
      </c>
      <c r="L86" s="1" t="s">
        <v>535</v>
      </c>
    </row>
    <row r="87" spans="1:12" ht="30" x14ac:dyDescent="0.25">
      <c r="A87" s="1" t="s">
        <v>248</v>
      </c>
      <c r="B87" t="s">
        <v>642</v>
      </c>
      <c r="C87" t="s">
        <v>40</v>
      </c>
      <c r="D87" s="1" t="s">
        <v>488</v>
      </c>
      <c r="E87" t="s">
        <v>664</v>
      </c>
      <c r="F87" t="s">
        <v>247</v>
      </c>
      <c r="G87" s="1" t="s">
        <v>399</v>
      </c>
      <c r="I87" s="23">
        <v>7103018</v>
      </c>
      <c r="K87" s="1" t="s">
        <v>667</v>
      </c>
      <c r="L87" s="1" t="s">
        <v>488</v>
      </c>
    </row>
    <row r="88" spans="1:12" ht="75" x14ac:dyDescent="0.25">
      <c r="A88" s="1" t="s">
        <v>250</v>
      </c>
      <c r="B88" t="s">
        <v>642</v>
      </c>
      <c r="C88" t="s">
        <v>40</v>
      </c>
      <c r="D88" s="1" t="s">
        <v>535</v>
      </c>
      <c r="E88" t="s">
        <v>668</v>
      </c>
      <c r="F88" t="s">
        <v>249</v>
      </c>
      <c r="G88" s="1" t="s">
        <v>494</v>
      </c>
      <c r="I88" s="23">
        <v>7103019</v>
      </c>
      <c r="K88" s="1" t="s">
        <v>666</v>
      </c>
      <c r="L88" s="1" t="s">
        <v>535</v>
      </c>
    </row>
    <row r="89" spans="1:12" ht="75" x14ac:dyDescent="0.25">
      <c r="A89" s="1" t="s">
        <v>252</v>
      </c>
      <c r="B89" t="s">
        <v>642</v>
      </c>
      <c r="C89" t="s">
        <v>40</v>
      </c>
      <c r="D89" s="1" t="s">
        <v>535</v>
      </c>
      <c r="E89" t="s">
        <v>669</v>
      </c>
      <c r="F89" t="s">
        <v>251</v>
      </c>
      <c r="G89" s="1" t="s">
        <v>494</v>
      </c>
      <c r="I89" s="23">
        <v>7103020</v>
      </c>
      <c r="K89" s="1" t="s">
        <v>666</v>
      </c>
      <c r="L89" s="1" t="s">
        <v>535</v>
      </c>
    </row>
    <row r="90" spans="1:12" ht="75" x14ac:dyDescent="0.25">
      <c r="A90" s="1" t="s">
        <v>254</v>
      </c>
      <c r="B90" t="s">
        <v>657</v>
      </c>
      <c r="C90" t="s">
        <v>40</v>
      </c>
      <c r="D90" s="1" t="s">
        <v>535</v>
      </c>
      <c r="E90" t="s">
        <v>670</v>
      </c>
      <c r="F90" t="s">
        <v>253</v>
      </c>
      <c r="G90" s="1" t="s">
        <v>494</v>
      </c>
      <c r="I90" s="23">
        <v>7103021</v>
      </c>
      <c r="K90" s="1" t="s">
        <v>666</v>
      </c>
      <c r="L90" s="1" t="s">
        <v>535</v>
      </c>
    </row>
    <row r="91" spans="1:12" ht="30" x14ac:dyDescent="0.25">
      <c r="A91" s="1" t="s">
        <v>256</v>
      </c>
      <c r="B91" t="s">
        <v>646</v>
      </c>
      <c r="C91" t="s">
        <v>40</v>
      </c>
      <c r="D91" s="1" t="s">
        <v>512</v>
      </c>
      <c r="E91" t="s">
        <v>671</v>
      </c>
      <c r="F91" t="s">
        <v>255</v>
      </c>
      <c r="G91" s="1" t="s">
        <v>494</v>
      </c>
      <c r="I91" s="23">
        <v>7103022</v>
      </c>
      <c r="K91" s="1" t="s">
        <v>672</v>
      </c>
      <c r="L91" s="1" t="s">
        <v>512</v>
      </c>
    </row>
    <row r="92" spans="1:12" ht="135" x14ac:dyDescent="0.25">
      <c r="A92" s="1" t="s">
        <v>258</v>
      </c>
      <c r="B92" t="s">
        <v>642</v>
      </c>
      <c r="C92" t="s">
        <v>40</v>
      </c>
      <c r="D92" s="1" t="s">
        <v>492</v>
      </c>
      <c r="E92" t="s">
        <v>673</v>
      </c>
      <c r="F92" t="s">
        <v>257</v>
      </c>
      <c r="G92" s="1" t="s">
        <v>494</v>
      </c>
      <c r="I92" s="23">
        <v>7103023</v>
      </c>
      <c r="K92" s="1" t="s">
        <v>674</v>
      </c>
      <c r="L92" s="1" t="s">
        <v>492</v>
      </c>
    </row>
    <row r="93" spans="1:12" ht="135" x14ac:dyDescent="0.25">
      <c r="A93" s="1" t="s">
        <v>260</v>
      </c>
      <c r="B93" t="s">
        <v>646</v>
      </c>
      <c r="C93" t="s">
        <v>40</v>
      </c>
      <c r="D93" s="1" t="s">
        <v>492</v>
      </c>
      <c r="E93" t="s">
        <v>675</v>
      </c>
      <c r="F93" t="s">
        <v>259</v>
      </c>
      <c r="G93" s="1" t="s">
        <v>494</v>
      </c>
      <c r="I93" s="23">
        <v>7103024</v>
      </c>
      <c r="K93" s="1" t="s">
        <v>674</v>
      </c>
      <c r="L93" s="1" t="s">
        <v>492</v>
      </c>
    </row>
    <row r="94" spans="1:12" ht="135" x14ac:dyDescent="0.25">
      <c r="A94" s="1" t="s">
        <v>262</v>
      </c>
      <c r="B94" t="s">
        <v>642</v>
      </c>
      <c r="C94" t="s">
        <v>40</v>
      </c>
      <c r="D94" s="1" t="s">
        <v>492</v>
      </c>
      <c r="E94" t="s">
        <v>615</v>
      </c>
      <c r="F94" t="s">
        <v>261</v>
      </c>
      <c r="G94" s="1" t="s">
        <v>494</v>
      </c>
      <c r="I94" s="23">
        <v>7103025</v>
      </c>
      <c r="K94" s="1" t="s">
        <v>674</v>
      </c>
      <c r="L94" s="1" t="s">
        <v>492</v>
      </c>
    </row>
    <row r="95" spans="1:12" ht="135" x14ac:dyDescent="0.25">
      <c r="A95" s="1" t="s">
        <v>264</v>
      </c>
      <c r="B95" t="s">
        <v>642</v>
      </c>
      <c r="C95" t="s">
        <v>40</v>
      </c>
      <c r="D95" s="1" t="s">
        <v>492</v>
      </c>
      <c r="E95" t="s">
        <v>574</v>
      </c>
      <c r="F95" t="s">
        <v>263</v>
      </c>
      <c r="G95" s="1" t="s">
        <v>494</v>
      </c>
      <c r="I95" s="23">
        <v>7103026</v>
      </c>
      <c r="K95" s="1" t="s">
        <v>674</v>
      </c>
      <c r="L95" s="1" t="s">
        <v>492</v>
      </c>
    </row>
    <row r="96" spans="1:12" ht="135" x14ac:dyDescent="0.25">
      <c r="A96" s="1" t="s">
        <v>266</v>
      </c>
      <c r="B96" t="s">
        <v>642</v>
      </c>
      <c r="C96" t="s">
        <v>40</v>
      </c>
      <c r="D96" s="1" t="s">
        <v>492</v>
      </c>
      <c r="E96" t="s">
        <v>676</v>
      </c>
      <c r="F96" t="s">
        <v>265</v>
      </c>
      <c r="G96" s="1" t="s">
        <v>494</v>
      </c>
      <c r="I96" s="23">
        <v>7103027</v>
      </c>
      <c r="K96" s="1" t="s">
        <v>674</v>
      </c>
      <c r="L96" s="1" t="s">
        <v>492</v>
      </c>
    </row>
    <row r="97" spans="1:12" ht="75" x14ac:dyDescent="0.25">
      <c r="A97" s="1" t="s">
        <v>268</v>
      </c>
      <c r="B97" t="s">
        <v>642</v>
      </c>
      <c r="C97" t="s">
        <v>40</v>
      </c>
      <c r="D97" s="1" t="s">
        <v>502</v>
      </c>
      <c r="E97" t="s">
        <v>677</v>
      </c>
      <c r="F97" t="s">
        <v>267</v>
      </c>
      <c r="G97" s="1" t="s">
        <v>423</v>
      </c>
      <c r="I97" s="23">
        <v>7103028</v>
      </c>
      <c r="K97" s="1" t="s">
        <v>678</v>
      </c>
      <c r="L97" s="1" t="s">
        <v>502</v>
      </c>
    </row>
    <row r="98" spans="1:12" ht="75" x14ac:dyDescent="0.25">
      <c r="A98" s="1" t="s">
        <v>270</v>
      </c>
      <c r="B98" t="s">
        <v>642</v>
      </c>
      <c r="C98" t="s">
        <v>40</v>
      </c>
      <c r="D98" s="1" t="s">
        <v>502</v>
      </c>
      <c r="E98" t="s">
        <v>677</v>
      </c>
      <c r="F98" t="s">
        <v>269</v>
      </c>
      <c r="G98" s="1" t="s">
        <v>423</v>
      </c>
      <c r="I98" s="23">
        <v>7103029</v>
      </c>
      <c r="K98" s="1" t="s">
        <v>678</v>
      </c>
      <c r="L98" s="1" t="s">
        <v>502</v>
      </c>
    </row>
    <row r="99" spans="1:12" ht="75" x14ac:dyDescent="0.25">
      <c r="A99" s="1" t="s">
        <v>272</v>
      </c>
      <c r="B99" t="s">
        <v>642</v>
      </c>
      <c r="C99" t="s">
        <v>40</v>
      </c>
      <c r="D99" s="1" t="s">
        <v>502</v>
      </c>
      <c r="E99" t="s">
        <v>677</v>
      </c>
      <c r="F99" t="s">
        <v>271</v>
      </c>
      <c r="G99" s="1" t="s">
        <v>758</v>
      </c>
      <c r="I99" s="23">
        <v>7103030</v>
      </c>
      <c r="K99" s="1" t="s">
        <v>678</v>
      </c>
      <c r="L99" s="1" t="s">
        <v>502</v>
      </c>
    </row>
    <row r="100" spans="1:12" ht="30" x14ac:dyDescent="0.25">
      <c r="A100" s="1" t="s">
        <v>274</v>
      </c>
      <c r="B100" t="s">
        <v>642</v>
      </c>
      <c r="C100" t="s">
        <v>40</v>
      </c>
      <c r="D100" s="1" t="s">
        <v>512</v>
      </c>
      <c r="E100" t="s">
        <v>679</v>
      </c>
      <c r="F100" t="s">
        <v>273</v>
      </c>
      <c r="G100" s="1" t="s">
        <v>494</v>
      </c>
      <c r="I100" s="23">
        <v>7103031</v>
      </c>
      <c r="K100" s="1" t="s">
        <v>680</v>
      </c>
      <c r="L100" s="1" t="s">
        <v>512</v>
      </c>
    </row>
    <row r="101" spans="1:12" ht="30" x14ac:dyDescent="0.25">
      <c r="A101" s="1" t="s">
        <v>276</v>
      </c>
      <c r="B101" t="s">
        <v>646</v>
      </c>
      <c r="C101" t="s">
        <v>40</v>
      </c>
      <c r="D101" s="1" t="s">
        <v>502</v>
      </c>
      <c r="E101" t="s">
        <v>681</v>
      </c>
      <c r="F101" t="s">
        <v>275</v>
      </c>
      <c r="G101" s="1" t="s">
        <v>682</v>
      </c>
      <c r="I101" s="23">
        <v>7103032</v>
      </c>
      <c r="K101" s="1" t="s">
        <v>683</v>
      </c>
      <c r="L101" s="1" t="s">
        <v>502</v>
      </c>
    </row>
    <row r="102" spans="1:12" ht="30" x14ac:dyDescent="0.25">
      <c r="A102" s="1" t="s">
        <v>278</v>
      </c>
      <c r="B102" t="s">
        <v>657</v>
      </c>
      <c r="C102" t="s">
        <v>40</v>
      </c>
      <c r="D102" s="1" t="s">
        <v>531</v>
      </c>
      <c r="E102" t="s">
        <v>618</v>
      </c>
      <c r="F102" t="s">
        <v>277</v>
      </c>
      <c r="G102" s="1" t="s">
        <v>494</v>
      </c>
      <c r="I102" s="23">
        <v>7103033</v>
      </c>
      <c r="K102" s="1" t="s">
        <v>684</v>
      </c>
      <c r="L102" s="1" t="s">
        <v>531</v>
      </c>
    </row>
    <row r="103" spans="1:12" ht="30" x14ac:dyDescent="0.25">
      <c r="A103" s="1" t="s">
        <v>280</v>
      </c>
      <c r="B103" t="s">
        <v>657</v>
      </c>
      <c r="C103" t="s">
        <v>40</v>
      </c>
      <c r="D103" s="1" t="s">
        <v>428</v>
      </c>
      <c r="E103" t="s">
        <v>685</v>
      </c>
      <c r="F103" t="s">
        <v>279</v>
      </c>
      <c r="G103" s="1" t="s">
        <v>494</v>
      </c>
      <c r="I103" s="23">
        <v>7103034</v>
      </c>
      <c r="K103" s="1" t="s">
        <v>686</v>
      </c>
      <c r="L103" s="1" t="s">
        <v>428</v>
      </c>
    </row>
    <row r="104" spans="1:12" ht="30" x14ac:dyDescent="0.25">
      <c r="A104" s="1" t="s">
        <v>282</v>
      </c>
      <c r="B104" t="s">
        <v>642</v>
      </c>
      <c r="C104" t="s">
        <v>40</v>
      </c>
      <c r="D104" s="1" t="s">
        <v>492</v>
      </c>
      <c r="E104" t="s">
        <v>606</v>
      </c>
      <c r="F104" t="s">
        <v>281</v>
      </c>
      <c r="G104" s="1" t="s">
        <v>494</v>
      </c>
      <c r="I104" s="23">
        <v>7103035</v>
      </c>
      <c r="K104" s="1" t="s">
        <v>687</v>
      </c>
      <c r="L104" s="1" t="s">
        <v>492</v>
      </c>
    </row>
    <row r="105" spans="1:12" ht="45" x14ac:dyDescent="0.25">
      <c r="A105" s="1" t="s">
        <v>284</v>
      </c>
      <c r="B105" t="s">
        <v>642</v>
      </c>
      <c r="C105" t="s">
        <v>40</v>
      </c>
      <c r="D105" s="1" t="s">
        <v>502</v>
      </c>
      <c r="E105" t="s">
        <v>595</v>
      </c>
      <c r="F105" t="s">
        <v>283</v>
      </c>
      <c r="G105" s="1" t="s">
        <v>494</v>
      </c>
      <c r="I105" s="23">
        <v>7103036</v>
      </c>
      <c r="K105" s="1" t="s">
        <v>688</v>
      </c>
      <c r="L105" s="1" t="s">
        <v>502</v>
      </c>
    </row>
    <row r="106" spans="1:12" ht="90" x14ac:dyDescent="0.25">
      <c r="A106" s="1" t="s">
        <v>286</v>
      </c>
      <c r="B106" t="s">
        <v>642</v>
      </c>
      <c r="C106" t="s">
        <v>40</v>
      </c>
      <c r="D106" s="1" t="s">
        <v>428</v>
      </c>
      <c r="E106" t="s">
        <v>689</v>
      </c>
      <c r="F106" t="s">
        <v>285</v>
      </c>
      <c r="G106" s="1" t="s">
        <v>494</v>
      </c>
      <c r="I106" s="23">
        <v>7103037</v>
      </c>
      <c r="K106" s="1" t="s">
        <v>690</v>
      </c>
      <c r="L106" s="1" t="s">
        <v>428</v>
      </c>
    </row>
    <row r="107" spans="1:12" ht="90" x14ac:dyDescent="0.25">
      <c r="A107" s="1" t="s">
        <v>288</v>
      </c>
      <c r="B107" t="s">
        <v>657</v>
      </c>
      <c r="C107" t="s">
        <v>40</v>
      </c>
      <c r="D107" s="1" t="s">
        <v>428</v>
      </c>
      <c r="E107" t="s">
        <v>691</v>
      </c>
      <c r="F107" t="s">
        <v>287</v>
      </c>
      <c r="G107" s="1" t="s">
        <v>494</v>
      </c>
      <c r="I107" s="23">
        <v>7103038</v>
      </c>
      <c r="K107" s="1" t="s">
        <v>690</v>
      </c>
      <c r="L107" s="1" t="s">
        <v>428</v>
      </c>
    </row>
    <row r="108" spans="1:12" ht="30" x14ac:dyDescent="0.25">
      <c r="A108" s="1" t="s">
        <v>290</v>
      </c>
      <c r="B108" t="s">
        <v>642</v>
      </c>
      <c r="C108" t="s">
        <v>40</v>
      </c>
      <c r="D108" s="1" t="s">
        <v>531</v>
      </c>
      <c r="E108" t="s">
        <v>630</v>
      </c>
      <c r="F108" t="s">
        <v>289</v>
      </c>
      <c r="G108" s="1" t="s">
        <v>494</v>
      </c>
      <c r="I108" s="23">
        <v>7103039</v>
      </c>
      <c r="K108" s="1" t="s">
        <v>692</v>
      </c>
    </row>
    <row r="109" spans="1:12" ht="90" x14ac:dyDescent="0.25">
      <c r="A109" s="1" t="s">
        <v>292</v>
      </c>
      <c r="B109" t="s">
        <v>657</v>
      </c>
      <c r="C109" t="s">
        <v>40</v>
      </c>
      <c r="D109" s="1" t="s">
        <v>428</v>
      </c>
      <c r="E109" t="s">
        <v>529</v>
      </c>
      <c r="F109" t="s">
        <v>291</v>
      </c>
      <c r="G109" s="1" t="s">
        <v>494</v>
      </c>
      <c r="I109" s="23">
        <v>7103040</v>
      </c>
      <c r="K109" s="1" t="s">
        <v>690</v>
      </c>
      <c r="L109" s="1" t="s">
        <v>428</v>
      </c>
    </row>
    <row r="110" spans="1:12" ht="105" x14ac:dyDescent="0.25">
      <c r="A110" s="1" t="s">
        <v>297</v>
      </c>
      <c r="B110" t="s">
        <v>605</v>
      </c>
      <c r="C110" t="s">
        <v>41</v>
      </c>
      <c r="D110" s="1" t="s">
        <v>492</v>
      </c>
      <c r="E110" t="s">
        <v>643</v>
      </c>
      <c r="F110" t="s">
        <v>296</v>
      </c>
      <c r="G110" s="1" t="s">
        <v>693</v>
      </c>
      <c r="I110" s="23">
        <v>7104002</v>
      </c>
      <c r="K110" s="1" t="s">
        <v>694</v>
      </c>
      <c r="L110" s="1" t="s">
        <v>492</v>
      </c>
    </row>
    <row r="111" spans="1:12" ht="30" x14ac:dyDescent="0.25">
      <c r="A111" s="1" t="s">
        <v>302</v>
      </c>
      <c r="B111" t="s">
        <v>605</v>
      </c>
      <c r="C111" t="s">
        <v>41</v>
      </c>
      <c r="D111" s="1" t="s">
        <v>502</v>
      </c>
      <c r="E111" t="s">
        <v>695</v>
      </c>
      <c r="F111" t="s">
        <v>301</v>
      </c>
      <c r="G111" s="1" t="s">
        <v>494</v>
      </c>
      <c r="I111" s="23">
        <v>7104003</v>
      </c>
      <c r="K111" s="1" t="s">
        <v>696</v>
      </c>
      <c r="L111" s="1" t="s">
        <v>649</v>
      </c>
    </row>
    <row r="112" spans="1:12" ht="30" x14ac:dyDescent="0.25">
      <c r="A112" s="1" t="s">
        <v>304</v>
      </c>
      <c r="B112" t="s">
        <v>605</v>
      </c>
      <c r="C112" t="s">
        <v>41</v>
      </c>
      <c r="D112" s="1" t="s">
        <v>502</v>
      </c>
      <c r="E112" t="s">
        <v>599</v>
      </c>
      <c r="F112" t="s">
        <v>303</v>
      </c>
      <c r="G112" s="1" t="s">
        <v>494</v>
      </c>
      <c r="I112" s="23">
        <v>7104004</v>
      </c>
      <c r="K112" s="1" t="s">
        <v>697</v>
      </c>
      <c r="L112" s="1" t="s">
        <v>502</v>
      </c>
    </row>
    <row r="113" spans="1:12" ht="30" x14ac:dyDescent="0.25">
      <c r="A113" s="1" t="s">
        <v>308</v>
      </c>
      <c r="B113" t="s">
        <v>605</v>
      </c>
      <c r="C113" t="s">
        <v>41</v>
      </c>
      <c r="D113" s="1" t="s">
        <v>484</v>
      </c>
      <c r="E113" t="s">
        <v>634</v>
      </c>
      <c r="F113" t="s">
        <v>307</v>
      </c>
      <c r="G113" s="1" t="s">
        <v>494</v>
      </c>
      <c r="I113" s="23">
        <v>7104005</v>
      </c>
      <c r="K113" s="1" t="s">
        <v>698</v>
      </c>
      <c r="L113" s="1" t="s">
        <v>484</v>
      </c>
    </row>
    <row r="114" spans="1:12" ht="15.75" x14ac:dyDescent="0.25">
      <c r="A114" t="s">
        <v>311</v>
      </c>
      <c r="B114" t="s">
        <v>605</v>
      </c>
      <c r="C114" t="s">
        <v>41</v>
      </c>
      <c r="D114" s="1" t="s">
        <v>531</v>
      </c>
      <c r="E114" t="s">
        <v>699</v>
      </c>
      <c r="F114" t="s">
        <v>310</v>
      </c>
      <c r="G114" s="1" t="s">
        <v>494</v>
      </c>
      <c r="I114" s="23">
        <v>7104006</v>
      </c>
      <c r="K114" s="1" t="s">
        <v>700</v>
      </c>
      <c r="L114" s="1" t="s">
        <v>531</v>
      </c>
    </row>
    <row r="115" spans="1:12" ht="45" x14ac:dyDescent="0.25">
      <c r="A115" t="s">
        <v>315</v>
      </c>
      <c r="B115" t="s">
        <v>605</v>
      </c>
      <c r="C115" t="s">
        <v>41</v>
      </c>
      <c r="D115" s="1" t="s">
        <v>488</v>
      </c>
      <c r="E115" t="s">
        <v>664</v>
      </c>
      <c r="F115" t="s">
        <v>314</v>
      </c>
      <c r="G115" s="1" t="s">
        <v>494</v>
      </c>
      <c r="I115" s="23">
        <v>7104007</v>
      </c>
      <c r="K115" s="1" t="s">
        <v>701</v>
      </c>
      <c r="L115" s="1" t="s">
        <v>488</v>
      </c>
    </row>
    <row r="116" spans="1:12" ht="15.75" x14ac:dyDescent="0.25">
      <c r="A116" t="s">
        <v>319</v>
      </c>
      <c r="B116" t="s">
        <v>605</v>
      </c>
      <c r="C116" t="s">
        <v>41</v>
      </c>
      <c r="D116" s="1" t="s">
        <v>535</v>
      </c>
      <c r="E116" t="s">
        <v>702</v>
      </c>
      <c r="F116" t="s">
        <v>318</v>
      </c>
      <c r="G116" s="1" t="s">
        <v>494</v>
      </c>
      <c r="I116" s="23">
        <v>7104008</v>
      </c>
      <c r="K116" s="1" t="s">
        <v>703</v>
      </c>
      <c r="L116" s="1" t="s">
        <v>535</v>
      </c>
    </row>
    <row r="117" spans="1:12" ht="15.75" x14ac:dyDescent="0.25">
      <c r="A117" t="s">
        <v>321</v>
      </c>
      <c r="B117" t="s">
        <v>605</v>
      </c>
      <c r="C117" t="s">
        <v>41</v>
      </c>
      <c r="D117" s="1" t="s">
        <v>492</v>
      </c>
      <c r="E117" t="s">
        <v>704</v>
      </c>
      <c r="F117" t="s">
        <v>320</v>
      </c>
      <c r="G117" s="1" t="s">
        <v>494</v>
      </c>
      <c r="I117" s="23">
        <v>7104009</v>
      </c>
      <c r="K117" s="1" t="s">
        <v>705</v>
      </c>
      <c r="L117" s="1" t="s">
        <v>492</v>
      </c>
    </row>
    <row r="118" spans="1:12" ht="30" x14ac:dyDescent="0.25">
      <c r="A118" s="1" t="s">
        <v>325</v>
      </c>
      <c r="B118" t="s">
        <v>605</v>
      </c>
      <c r="C118" t="s">
        <v>41</v>
      </c>
      <c r="D118" s="1" t="s">
        <v>512</v>
      </c>
      <c r="E118" t="s">
        <v>706</v>
      </c>
      <c r="F118" t="s">
        <v>324</v>
      </c>
      <c r="G118" s="1" t="s">
        <v>494</v>
      </c>
      <c r="I118" s="23">
        <v>7104010</v>
      </c>
      <c r="K118" s="1" t="s">
        <v>707</v>
      </c>
      <c r="L118" s="1" t="s">
        <v>706</v>
      </c>
    </row>
    <row r="119" spans="1:12" ht="45" x14ac:dyDescent="0.25">
      <c r="A119" s="1" t="s">
        <v>328</v>
      </c>
      <c r="B119" t="s">
        <v>605</v>
      </c>
      <c r="C119" t="s">
        <v>41</v>
      </c>
      <c r="F119" t="s">
        <v>327</v>
      </c>
      <c r="G119" s="1" t="s">
        <v>396</v>
      </c>
      <c r="I119" s="23">
        <v>7104011</v>
      </c>
      <c r="K119" s="1" t="s">
        <v>708</v>
      </c>
      <c r="L119" s="1" t="s">
        <v>512</v>
      </c>
    </row>
    <row r="120" spans="1:12" ht="15.75" x14ac:dyDescent="0.25">
      <c r="A120" t="s">
        <v>332</v>
      </c>
      <c r="B120" t="s">
        <v>605</v>
      </c>
      <c r="C120" t="s">
        <v>41</v>
      </c>
      <c r="D120" s="1" t="s">
        <v>531</v>
      </c>
      <c r="E120" t="s">
        <v>622</v>
      </c>
      <c r="F120" t="s">
        <v>331</v>
      </c>
      <c r="G120" s="1" t="s">
        <v>494</v>
      </c>
      <c r="I120" s="23">
        <v>7104012</v>
      </c>
      <c r="K120" s="1" t="s">
        <v>709</v>
      </c>
      <c r="L120" s="1" t="s">
        <v>624</v>
      </c>
    </row>
    <row r="121" spans="1:12" ht="60" x14ac:dyDescent="0.25">
      <c r="A121" t="s">
        <v>335</v>
      </c>
      <c r="B121" t="s">
        <v>605</v>
      </c>
      <c r="C121" t="s">
        <v>41</v>
      </c>
      <c r="D121" s="1" t="s">
        <v>428</v>
      </c>
      <c r="E121" t="s">
        <v>710</v>
      </c>
      <c r="F121" t="s">
        <v>334</v>
      </c>
      <c r="G121" s="1" t="s">
        <v>494</v>
      </c>
      <c r="I121" s="23">
        <v>7104013</v>
      </c>
      <c r="J121" t="s">
        <v>711</v>
      </c>
      <c r="K121" s="1" t="s">
        <v>712</v>
      </c>
      <c r="L121" s="1" t="s">
        <v>428</v>
      </c>
    </row>
    <row r="122" spans="1:12" ht="60" x14ac:dyDescent="0.25">
      <c r="A122" t="s">
        <v>339</v>
      </c>
      <c r="B122" t="s">
        <v>605</v>
      </c>
      <c r="C122" t="s">
        <v>41</v>
      </c>
      <c r="D122" s="1" t="s">
        <v>492</v>
      </c>
      <c r="E122" t="s">
        <v>606</v>
      </c>
      <c r="F122" t="s">
        <v>338</v>
      </c>
      <c r="G122" s="1" t="s">
        <v>310</v>
      </c>
      <c r="I122" s="23">
        <v>7104014</v>
      </c>
      <c r="K122" s="1" t="s">
        <v>607</v>
      </c>
      <c r="L122" s="1" t="s">
        <v>492</v>
      </c>
    </row>
    <row r="123" spans="1:12" ht="165" x14ac:dyDescent="0.25">
      <c r="A123" t="s">
        <v>342</v>
      </c>
      <c r="B123" t="s">
        <v>605</v>
      </c>
      <c r="C123" t="s">
        <v>41</v>
      </c>
      <c r="D123" s="1" t="s">
        <v>502</v>
      </c>
      <c r="E123" t="s">
        <v>595</v>
      </c>
      <c r="F123" t="s">
        <v>341</v>
      </c>
      <c r="G123" s="1" t="s">
        <v>596</v>
      </c>
      <c r="I123" s="23">
        <v>7104015</v>
      </c>
      <c r="J123" t="s">
        <v>713</v>
      </c>
      <c r="K123" s="1" t="s">
        <v>714</v>
      </c>
      <c r="L123" s="1" t="s">
        <v>502</v>
      </c>
    </row>
    <row r="124" spans="1:12" ht="30" x14ac:dyDescent="0.25">
      <c r="A124" s="1" t="s">
        <v>346</v>
      </c>
      <c r="B124" t="s">
        <v>605</v>
      </c>
      <c r="C124" t="s">
        <v>41</v>
      </c>
      <c r="D124" s="1" t="s">
        <v>484</v>
      </c>
      <c r="E124" t="s">
        <v>715</v>
      </c>
      <c r="F124" t="s">
        <v>345</v>
      </c>
      <c r="G124" s="1" t="s">
        <v>494</v>
      </c>
      <c r="I124" s="23">
        <v>7104016</v>
      </c>
      <c r="L124" s="1" t="s">
        <v>484</v>
      </c>
    </row>
    <row r="125" spans="1:12" ht="30" x14ac:dyDescent="0.25">
      <c r="A125" s="1" t="s">
        <v>387</v>
      </c>
      <c r="B125" t="s">
        <v>605</v>
      </c>
      <c r="C125" t="s">
        <v>44</v>
      </c>
      <c r="D125" s="1" t="s">
        <v>502</v>
      </c>
      <c r="E125" t="s">
        <v>695</v>
      </c>
      <c r="F125" t="s">
        <v>386</v>
      </c>
      <c r="G125" s="1" t="s">
        <v>494</v>
      </c>
      <c r="I125" s="23">
        <v>7107001</v>
      </c>
      <c r="K125" s="1" t="s">
        <v>716</v>
      </c>
      <c r="L125" s="1" t="s">
        <v>649</v>
      </c>
    </row>
    <row r="126" spans="1:12" ht="30" x14ac:dyDescent="0.25">
      <c r="A126" s="1" t="s">
        <v>390</v>
      </c>
      <c r="B126" t="s">
        <v>605</v>
      </c>
      <c r="C126" t="s">
        <v>44</v>
      </c>
      <c r="D126" s="1" t="s">
        <v>502</v>
      </c>
      <c r="E126" t="s">
        <v>599</v>
      </c>
      <c r="F126" t="s">
        <v>389</v>
      </c>
      <c r="G126" s="1" t="s">
        <v>494</v>
      </c>
      <c r="I126" s="23">
        <v>7107002</v>
      </c>
      <c r="K126" s="1" t="s">
        <v>717</v>
      </c>
      <c r="L126" s="1" t="s">
        <v>502</v>
      </c>
    </row>
    <row r="127" spans="1:12" ht="30" x14ac:dyDescent="0.25">
      <c r="A127" s="1" t="s">
        <v>392</v>
      </c>
      <c r="B127" t="s">
        <v>605</v>
      </c>
      <c r="C127" t="s">
        <v>44</v>
      </c>
      <c r="D127" s="1" t="s">
        <v>484</v>
      </c>
      <c r="E127" t="s">
        <v>634</v>
      </c>
      <c r="F127" t="s">
        <v>391</v>
      </c>
      <c r="G127" s="1" t="s">
        <v>494</v>
      </c>
      <c r="I127" s="23">
        <v>7107003</v>
      </c>
      <c r="K127" s="1" t="s">
        <v>718</v>
      </c>
      <c r="L127" s="1" t="s">
        <v>484</v>
      </c>
    </row>
    <row r="128" spans="1:12" ht="120" x14ac:dyDescent="0.25">
      <c r="A128" s="1" t="s">
        <v>394</v>
      </c>
      <c r="B128" t="s">
        <v>594</v>
      </c>
      <c r="C128" t="s">
        <v>44</v>
      </c>
      <c r="D128" s="1" t="s">
        <v>535</v>
      </c>
      <c r="E128" t="s">
        <v>702</v>
      </c>
      <c r="F128" t="s">
        <v>393</v>
      </c>
      <c r="G128" s="1" t="s">
        <v>494</v>
      </c>
      <c r="I128" s="23">
        <v>7107004</v>
      </c>
      <c r="J128" t="s">
        <v>719</v>
      </c>
      <c r="K128" s="1" t="s">
        <v>720</v>
      </c>
      <c r="L128" s="1" t="s">
        <v>535</v>
      </c>
    </row>
    <row r="129" spans="1:12" ht="135" x14ac:dyDescent="0.25">
      <c r="A129" s="1" t="s">
        <v>397</v>
      </c>
      <c r="B129" t="s">
        <v>594</v>
      </c>
      <c r="C129" t="s">
        <v>44</v>
      </c>
      <c r="D129" s="1" t="s">
        <v>512</v>
      </c>
      <c r="E129" t="s">
        <v>706</v>
      </c>
      <c r="F129" t="s">
        <v>396</v>
      </c>
      <c r="G129" s="1" t="s">
        <v>494</v>
      </c>
      <c r="I129" s="23">
        <v>7107005</v>
      </c>
      <c r="J129" t="s">
        <v>721</v>
      </c>
      <c r="K129" s="1" t="s">
        <v>722</v>
      </c>
      <c r="L129" s="1" t="s">
        <v>706</v>
      </c>
    </row>
    <row r="130" spans="1:12" ht="30" x14ac:dyDescent="0.25">
      <c r="A130" s="1" t="s">
        <v>400</v>
      </c>
      <c r="B130" t="s">
        <v>594</v>
      </c>
      <c r="C130" t="s">
        <v>44</v>
      </c>
      <c r="D130" s="1" t="s">
        <v>502</v>
      </c>
      <c r="E130" t="s">
        <v>695</v>
      </c>
      <c r="F130" t="s">
        <v>399</v>
      </c>
      <c r="G130" s="1" t="s">
        <v>494</v>
      </c>
      <c r="I130" s="23">
        <v>7107006</v>
      </c>
      <c r="K130" s="1" t="s">
        <v>723</v>
      </c>
      <c r="L130" s="1" t="s">
        <v>649</v>
      </c>
    </row>
    <row r="131" spans="1:12" ht="30" x14ac:dyDescent="0.25">
      <c r="A131" s="1" t="s">
        <v>403</v>
      </c>
      <c r="B131" t="s">
        <v>594</v>
      </c>
      <c r="C131" t="s">
        <v>44</v>
      </c>
      <c r="D131" s="1" t="s">
        <v>502</v>
      </c>
      <c r="E131" t="s">
        <v>599</v>
      </c>
      <c r="F131" t="s">
        <v>402</v>
      </c>
      <c r="G131" s="1" t="s">
        <v>494</v>
      </c>
      <c r="I131" s="23">
        <v>7107007</v>
      </c>
      <c r="K131" s="1" t="s">
        <v>724</v>
      </c>
      <c r="L131" s="1" t="s">
        <v>502</v>
      </c>
    </row>
    <row r="132" spans="1:12" ht="15.75" x14ac:dyDescent="0.25">
      <c r="A132" s="1" t="s">
        <v>406</v>
      </c>
      <c r="B132" t="s">
        <v>594</v>
      </c>
      <c r="C132" t="s">
        <v>44</v>
      </c>
      <c r="D132" s="1" t="s">
        <v>535</v>
      </c>
      <c r="E132" t="s">
        <v>702</v>
      </c>
      <c r="F132" t="s">
        <v>405</v>
      </c>
      <c r="G132" s="1" t="s">
        <v>494</v>
      </c>
      <c r="I132" s="23">
        <v>7107008</v>
      </c>
      <c r="K132" s="1" t="s">
        <v>725</v>
      </c>
      <c r="L132" s="1" t="s">
        <v>535</v>
      </c>
    </row>
    <row r="133" spans="1:12" ht="30" x14ac:dyDescent="0.25">
      <c r="A133" s="1" t="s">
        <v>409</v>
      </c>
      <c r="B133" t="s">
        <v>594</v>
      </c>
      <c r="C133" t="s">
        <v>44</v>
      </c>
      <c r="D133" s="1" t="s">
        <v>531</v>
      </c>
      <c r="E133" t="s">
        <v>699</v>
      </c>
      <c r="F133" t="s">
        <v>408</v>
      </c>
      <c r="G133" s="1" t="s">
        <v>494</v>
      </c>
      <c r="I133" s="23">
        <v>7107009</v>
      </c>
      <c r="K133" s="1" t="s">
        <v>726</v>
      </c>
      <c r="L133" s="1" t="s">
        <v>531</v>
      </c>
    </row>
    <row r="134" spans="1:12" ht="15.75" x14ac:dyDescent="0.25">
      <c r="A134" s="1" t="s">
        <v>412</v>
      </c>
      <c r="B134" t="s">
        <v>594</v>
      </c>
      <c r="C134" t="s">
        <v>44</v>
      </c>
      <c r="D134" s="1" t="s">
        <v>492</v>
      </c>
      <c r="E134" t="s">
        <v>704</v>
      </c>
      <c r="F134" t="s">
        <v>411</v>
      </c>
      <c r="G134" s="1" t="s">
        <v>494</v>
      </c>
      <c r="I134" s="23">
        <v>7107010</v>
      </c>
      <c r="K134" s="1" t="s">
        <v>727</v>
      </c>
      <c r="L134" s="1" t="s">
        <v>492</v>
      </c>
    </row>
    <row r="135" spans="1:12" ht="15.75" x14ac:dyDescent="0.25">
      <c r="A135" s="1" t="s">
        <v>415</v>
      </c>
      <c r="B135" t="s">
        <v>594</v>
      </c>
      <c r="C135" t="s">
        <v>44</v>
      </c>
      <c r="D135" s="1" t="s">
        <v>492</v>
      </c>
      <c r="E135" t="s">
        <v>728</v>
      </c>
      <c r="F135" t="s">
        <v>414</v>
      </c>
      <c r="G135" s="1" t="s">
        <v>303</v>
      </c>
      <c r="I135" s="23">
        <v>7107011</v>
      </c>
      <c r="L135" s="1" t="s">
        <v>492</v>
      </c>
    </row>
    <row r="136" spans="1:12" ht="15.75" x14ac:dyDescent="0.25">
      <c r="A136" s="1" t="s">
        <v>418</v>
      </c>
      <c r="B136" t="s">
        <v>594</v>
      </c>
      <c r="C136" t="s">
        <v>44</v>
      </c>
      <c r="D136" s="1" t="s">
        <v>492</v>
      </c>
      <c r="E136" t="s">
        <v>729</v>
      </c>
      <c r="F136" t="s">
        <v>417</v>
      </c>
      <c r="G136" s="1" t="s">
        <v>327</v>
      </c>
      <c r="I136" s="23">
        <v>7107012</v>
      </c>
      <c r="L136" s="1" t="s">
        <v>492</v>
      </c>
    </row>
    <row r="137" spans="1:12" ht="15.75" x14ac:dyDescent="0.25">
      <c r="A137" s="1" t="s">
        <v>420</v>
      </c>
      <c r="B137" t="s">
        <v>594</v>
      </c>
      <c r="C137" t="s">
        <v>44</v>
      </c>
      <c r="D137" s="1" t="s">
        <v>492</v>
      </c>
      <c r="E137" t="s">
        <v>730</v>
      </c>
      <c r="F137" t="s">
        <v>419</v>
      </c>
      <c r="G137" s="1" t="s">
        <v>341</v>
      </c>
      <c r="I137" s="23">
        <v>7107013</v>
      </c>
      <c r="L137" s="1" t="s">
        <v>492</v>
      </c>
    </row>
    <row r="138" spans="1:12" ht="15.75" x14ac:dyDescent="0.25">
      <c r="A138" s="1" t="s">
        <v>422</v>
      </c>
      <c r="B138" t="s">
        <v>594</v>
      </c>
      <c r="C138" t="s">
        <v>44</v>
      </c>
      <c r="D138" s="1" t="s">
        <v>492</v>
      </c>
      <c r="E138" t="s">
        <v>731</v>
      </c>
      <c r="F138" t="s">
        <v>421</v>
      </c>
      <c r="G138" s="1" t="s">
        <v>345</v>
      </c>
      <c r="I138" s="23">
        <v>7107014</v>
      </c>
      <c r="L138" s="1" t="s">
        <v>492</v>
      </c>
    </row>
    <row r="139" spans="1:12" ht="57.75" x14ac:dyDescent="0.25">
      <c r="A139" s="6" t="s">
        <v>424</v>
      </c>
      <c r="B139" s="6" t="s">
        <v>594</v>
      </c>
      <c r="C139" s="6" t="s">
        <v>44</v>
      </c>
      <c r="D139" s="6" t="s">
        <v>512</v>
      </c>
      <c r="E139" s="6" t="s">
        <v>732</v>
      </c>
      <c r="F139" s="6" t="s">
        <v>423</v>
      </c>
      <c r="G139" s="3" t="s">
        <v>494</v>
      </c>
      <c r="H139" s="6"/>
      <c r="I139" s="21">
        <v>7107015</v>
      </c>
      <c r="J139" s="6" t="s">
        <v>426</v>
      </c>
      <c r="K139" s="3" t="s">
        <v>733</v>
      </c>
      <c r="L139" s="3" t="s">
        <v>512</v>
      </c>
    </row>
    <row r="140" spans="1:12" ht="15.75" x14ac:dyDescent="0.25">
      <c r="A140" s="6" t="s">
        <v>430</v>
      </c>
      <c r="B140" s="6" t="s">
        <v>614</v>
      </c>
      <c r="C140" s="6" t="s">
        <v>44</v>
      </c>
      <c r="D140" s="6" t="s">
        <v>512</v>
      </c>
      <c r="E140" s="6" t="s">
        <v>679</v>
      </c>
      <c r="F140" s="6" t="s">
        <v>429</v>
      </c>
      <c r="G140" s="3" t="s">
        <v>527</v>
      </c>
      <c r="H140" s="6"/>
      <c r="I140" s="21">
        <v>7107017</v>
      </c>
      <c r="J140" s="6"/>
      <c r="K140" s="3" t="s">
        <v>734</v>
      </c>
      <c r="L140" s="3" t="s">
        <v>512</v>
      </c>
    </row>
    <row r="141" spans="1:12" ht="43.5" x14ac:dyDescent="0.25">
      <c r="A141" s="6" t="s">
        <v>434</v>
      </c>
      <c r="B141" s="6" t="s">
        <v>614</v>
      </c>
      <c r="C141" s="6" t="s">
        <v>44</v>
      </c>
      <c r="D141" s="6" t="s">
        <v>484</v>
      </c>
      <c r="E141" s="6" t="s">
        <v>545</v>
      </c>
      <c r="F141" s="6" t="s">
        <v>433</v>
      </c>
      <c r="G141" s="3" t="s">
        <v>735</v>
      </c>
      <c r="H141" s="6"/>
      <c r="I141" s="21">
        <v>7107018</v>
      </c>
      <c r="J141" s="6" t="s">
        <v>435</v>
      </c>
      <c r="K141" s="3" t="s">
        <v>736</v>
      </c>
      <c r="L141" s="3" t="s">
        <v>484</v>
      </c>
    </row>
    <row r="142" spans="1:12" ht="43.5" x14ac:dyDescent="0.25">
      <c r="A142" s="6" t="s">
        <v>438</v>
      </c>
      <c r="B142" s="6" t="s">
        <v>614</v>
      </c>
      <c r="C142" s="6" t="s">
        <v>44</v>
      </c>
      <c r="D142" s="6" t="s">
        <v>502</v>
      </c>
      <c r="E142" s="6" t="s">
        <v>681</v>
      </c>
      <c r="F142" s="6" t="s">
        <v>437</v>
      </c>
      <c r="G142" s="3" t="s">
        <v>735</v>
      </c>
      <c r="H142" s="6"/>
      <c r="I142" s="21">
        <v>7107019</v>
      </c>
      <c r="J142" s="6" t="s">
        <v>439</v>
      </c>
      <c r="K142" s="3" t="s">
        <v>737</v>
      </c>
      <c r="L142" s="3" t="s">
        <v>502</v>
      </c>
    </row>
    <row r="143" spans="1:12" ht="15.75" x14ac:dyDescent="0.25">
      <c r="A143" t="s">
        <v>738</v>
      </c>
      <c r="B143" t="s">
        <v>739</v>
      </c>
      <c r="C143" t="s">
        <v>45</v>
      </c>
      <c r="D143" s="1" t="s">
        <v>502</v>
      </c>
      <c r="E143" t="s">
        <v>740</v>
      </c>
      <c r="F143" t="s">
        <v>441</v>
      </c>
      <c r="G143" s="1" t="s">
        <v>626</v>
      </c>
      <c r="I143" s="23">
        <v>7108001</v>
      </c>
      <c r="K143" s="1" t="s">
        <v>741</v>
      </c>
      <c r="L143" s="1" t="s">
        <v>649</v>
      </c>
    </row>
    <row r="144" spans="1:12" ht="15.75" x14ac:dyDescent="0.25">
      <c r="A144" t="s">
        <v>742</v>
      </c>
      <c r="B144" t="s">
        <v>739</v>
      </c>
      <c r="C144" t="s">
        <v>45</v>
      </c>
      <c r="D144" s="1" t="s">
        <v>502</v>
      </c>
      <c r="E144" t="s">
        <v>740</v>
      </c>
      <c r="F144" t="s">
        <v>441</v>
      </c>
      <c r="G144" s="1" t="s">
        <v>569</v>
      </c>
      <c r="I144" s="23">
        <v>7108002</v>
      </c>
      <c r="K144" s="1" t="s">
        <v>743</v>
      </c>
      <c r="L144" s="1" t="s">
        <v>649</v>
      </c>
    </row>
    <row r="145" spans="1:12" ht="15.75" x14ac:dyDescent="0.25">
      <c r="A145" t="s">
        <v>744</v>
      </c>
      <c r="B145" t="s">
        <v>739</v>
      </c>
      <c r="C145" t="s">
        <v>45</v>
      </c>
      <c r="D145" s="1" t="s">
        <v>502</v>
      </c>
      <c r="E145" t="s">
        <v>568</v>
      </c>
      <c r="F145" t="s">
        <v>441</v>
      </c>
      <c r="G145" s="1" t="s">
        <v>494</v>
      </c>
      <c r="I145" s="23">
        <v>7108003</v>
      </c>
      <c r="K145" s="1" t="s">
        <v>745</v>
      </c>
      <c r="L145" s="1" t="s">
        <v>649</v>
      </c>
    </row>
    <row r="146" spans="1:12" ht="15.75" x14ac:dyDescent="0.25">
      <c r="A146" t="s">
        <v>746</v>
      </c>
      <c r="B146" t="s">
        <v>739</v>
      </c>
      <c r="C146" t="s">
        <v>45</v>
      </c>
      <c r="D146" s="1" t="s">
        <v>502</v>
      </c>
      <c r="E146" t="s">
        <v>647</v>
      </c>
      <c r="F146" t="s">
        <v>441</v>
      </c>
      <c r="G146" s="1" t="s">
        <v>494</v>
      </c>
      <c r="I146" s="23">
        <v>7108004</v>
      </c>
      <c r="K146" s="1" t="s">
        <v>747</v>
      </c>
      <c r="L146" s="1" t="s">
        <v>649</v>
      </c>
    </row>
    <row r="147" spans="1:12" ht="15.75" x14ac:dyDescent="0.25">
      <c r="A147" t="s">
        <v>748</v>
      </c>
      <c r="B147" t="s">
        <v>739</v>
      </c>
      <c r="C147" t="s">
        <v>45</v>
      </c>
      <c r="D147" s="1" t="s">
        <v>502</v>
      </c>
      <c r="E147" t="s">
        <v>650</v>
      </c>
      <c r="F147" t="s">
        <v>441</v>
      </c>
      <c r="G147" s="1" t="s">
        <v>494</v>
      </c>
      <c r="I147" s="23">
        <v>7108005</v>
      </c>
      <c r="K147" s="1" t="s">
        <v>749</v>
      </c>
      <c r="L147" s="1" t="s">
        <v>649</v>
      </c>
    </row>
    <row r="148" spans="1:12" ht="15.75" x14ac:dyDescent="0.25">
      <c r="A148" t="s">
        <v>750</v>
      </c>
      <c r="B148" t="s">
        <v>739</v>
      </c>
      <c r="C148" t="s">
        <v>45</v>
      </c>
      <c r="D148" s="1" t="s">
        <v>502</v>
      </c>
      <c r="E148" t="s">
        <v>625</v>
      </c>
      <c r="F148" t="s">
        <v>441</v>
      </c>
      <c r="G148" s="1" t="s">
        <v>626</v>
      </c>
      <c r="I148" s="23">
        <v>7108006</v>
      </c>
      <c r="K148" s="1" t="s">
        <v>751</v>
      </c>
      <c r="L148" s="1" t="s">
        <v>649</v>
      </c>
    </row>
    <row r="149" spans="1:12" ht="30" x14ac:dyDescent="0.25">
      <c r="A149" t="s">
        <v>752</v>
      </c>
      <c r="B149" t="s">
        <v>739</v>
      </c>
      <c r="C149" t="s">
        <v>45</v>
      </c>
      <c r="D149" s="1" t="s">
        <v>502</v>
      </c>
      <c r="E149" t="s">
        <v>753</v>
      </c>
      <c r="F149" t="s">
        <v>441</v>
      </c>
      <c r="G149" s="1" t="s">
        <v>754</v>
      </c>
      <c r="I149" s="23">
        <v>7108007</v>
      </c>
      <c r="K149" s="1" t="s">
        <v>755</v>
      </c>
      <c r="L149" s="1" t="s">
        <v>649</v>
      </c>
    </row>
    <row r="150" spans="1:12" ht="30" x14ac:dyDescent="0.25">
      <c r="A150" t="s">
        <v>756</v>
      </c>
      <c r="B150" t="s">
        <v>739</v>
      </c>
      <c r="C150" t="s">
        <v>45</v>
      </c>
      <c r="D150" s="1" t="s">
        <v>502</v>
      </c>
      <c r="E150" t="s">
        <v>757</v>
      </c>
      <c r="F150" t="s">
        <v>441</v>
      </c>
      <c r="G150" s="1" t="s">
        <v>758</v>
      </c>
      <c r="I150" s="23">
        <v>7108008</v>
      </c>
      <c r="K150" s="1" t="s">
        <v>759</v>
      </c>
      <c r="L150" s="1" t="s">
        <v>502</v>
      </c>
    </row>
    <row r="151" spans="1:12" ht="15.75" x14ac:dyDescent="0.25">
      <c r="A151" t="s">
        <v>760</v>
      </c>
      <c r="B151" t="s">
        <v>739</v>
      </c>
      <c r="C151" t="s">
        <v>45</v>
      </c>
      <c r="D151" s="1" t="s">
        <v>502</v>
      </c>
      <c r="E151" t="s">
        <v>560</v>
      </c>
      <c r="F151" t="s">
        <v>441</v>
      </c>
      <c r="G151" s="1" t="s">
        <v>494</v>
      </c>
      <c r="I151" s="23">
        <v>7108009</v>
      </c>
      <c r="K151" s="1" t="s">
        <v>761</v>
      </c>
      <c r="L151" s="1" t="s">
        <v>502</v>
      </c>
    </row>
    <row r="152" spans="1:12" ht="15.75" x14ac:dyDescent="0.25">
      <c r="A152" t="s">
        <v>762</v>
      </c>
      <c r="B152" t="s">
        <v>739</v>
      </c>
      <c r="C152" t="s">
        <v>45</v>
      </c>
      <c r="D152" s="1" t="s">
        <v>502</v>
      </c>
      <c r="E152" t="s">
        <v>560</v>
      </c>
      <c r="F152" t="s">
        <v>441</v>
      </c>
      <c r="G152" s="1" t="s">
        <v>399</v>
      </c>
      <c r="I152" s="23">
        <v>7108010</v>
      </c>
      <c r="K152" s="1" t="s">
        <v>763</v>
      </c>
      <c r="L152" s="1" t="s">
        <v>502</v>
      </c>
    </row>
    <row r="153" spans="1:12" ht="15.75" x14ac:dyDescent="0.25">
      <c r="A153" t="s">
        <v>764</v>
      </c>
      <c r="B153" t="s">
        <v>739</v>
      </c>
      <c r="C153" t="s">
        <v>45</v>
      </c>
      <c r="D153" s="1" t="s">
        <v>502</v>
      </c>
      <c r="E153" t="s">
        <v>765</v>
      </c>
      <c r="F153" t="s">
        <v>441</v>
      </c>
      <c r="G153" s="1" t="s">
        <v>626</v>
      </c>
      <c r="I153" s="23">
        <v>7108011</v>
      </c>
      <c r="K153" s="1" t="s">
        <v>766</v>
      </c>
      <c r="L153" s="1" t="s">
        <v>502</v>
      </c>
    </row>
    <row r="154" spans="1:12" ht="15.75" x14ac:dyDescent="0.25">
      <c r="A154" t="s">
        <v>767</v>
      </c>
      <c r="B154" t="s">
        <v>739</v>
      </c>
      <c r="C154" t="s">
        <v>45</v>
      </c>
      <c r="D154" s="1" t="s">
        <v>502</v>
      </c>
      <c r="E154" t="s">
        <v>765</v>
      </c>
      <c r="F154" t="s">
        <v>441</v>
      </c>
      <c r="G154" s="1" t="s">
        <v>626</v>
      </c>
      <c r="I154" s="23">
        <v>7108012</v>
      </c>
      <c r="K154" s="1" t="s">
        <v>768</v>
      </c>
      <c r="L154" s="1" t="s">
        <v>502</v>
      </c>
    </row>
    <row r="155" spans="1:12" ht="15.75" x14ac:dyDescent="0.25">
      <c r="A155" t="s">
        <v>769</v>
      </c>
      <c r="B155" t="s">
        <v>739</v>
      </c>
      <c r="C155" t="s">
        <v>45</v>
      </c>
      <c r="D155" s="1" t="s">
        <v>502</v>
      </c>
      <c r="E155" t="s">
        <v>765</v>
      </c>
      <c r="F155" t="s">
        <v>441</v>
      </c>
      <c r="G155" s="1" t="s">
        <v>626</v>
      </c>
      <c r="I155" s="23">
        <v>7108013</v>
      </c>
      <c r="K155" s="1" t="s">
        <v>770</v>
      </c>
      <c r="L155" s="1" t="s">
        <v>502</v>
      </c>
    </row>
    <row r="156" spans="1:12" ht="15.75" x14ac:dyDescent="0.25">
      <c r="A156" t="s">
        <v>771</v>
      </c>
      <c r="B156" t="s">
        <v>739</v>
      </c>
      <c r="C156" t="s">
        <v>45</v>
      </c>
      <c r="D156" s="1" t="s">
        <v>502</v>
      </c>
      <c r="E156" t="s">
        <v>547</v>
      </c>
      <c r="F156" t="s">
        <v>441</v>
      </c>
      <c r="G156" s="1" t="s">
        <v>494</v>
      </c>
      <c r="I156" s="23">
        <v>7108014</v>
      </c>
      <c r="K156" s="1" t="s">
        <v>772</v>
      </c>
      <c r="L156" s="1" t="s">
        <v>502</v>
      </c>
    </row>
    <row r="157" spans="1:12" ht="15.75" x14ac:dyDescent="0.25">
      <c r="A157" t="s">
        <v>773</v>
      </c>
      <c r="B157" t="s">
        <v>739</v>
      </c>
      <c r="C157" t="s">
        <v>45</v>
      </c>
      <c r="D157" s="1" t="s">
        <v>502</v>
      </c>
      <c r="E157" t="s">
        <v>774</v>
      </c>
      <c r="F157" t="s">
        <v>441</v>
      </c>
      <c r="G157" s="1" t="s">
        <v>399</v>
      </c>
      <c r="I157" s="23">
        <v>7108015</v>
      </c>
      <c r="K157" s="1" t="s">
        <v>775</v>
      </c>
      <c r="L157" s="1" t="s">
        <v>502</v>
      </c>
    </row>
    <row r="158" spans="1:12" ht="15.75" x14ac:dyDescent="0.25">
      <c r="A158" t="s">
        <v>776</v>
      </c>
      <c r="B158" t="s">
        <v>739</v>
      </c>
      <c r="C158" t="s">
        <v>45</v>
      </c>
      <c r="D158" s="1" t="s">
        <v>502</v>
      </c>
      <c r="E158" t="s">
        <v>774</v>
      </c>
      <c r="F158" t="s">
        <v>441</v>
      </c>
      <c r="G158" s="1" t="s">
        <v>399</v>
      </c>
      <c r="I158" s="23">
        <v>7108016</v>
      </c>
      <c r="K158" s="1" t="s">
        <v>777</v>
      </c>
      <c r="L158" s="1" t="s">
        <v>502</v>
      </c>
    </row>
    <row r="159" spans="1:12" ht="15.75" x14ac:dyDescent="0.25">
      <c r="A159" t="s">
        <v>778</v>
      </c>
      <c r="B159" t="s">
        <v>739</v>
      </c>
      <c r="C159" t="s">
        <v>45</v>
      </c>
      <c r="D159" s="1" t="s">
        <v>502</v>
      </c>
      <c r="E159" t="s">
        <v>779</v>
      </c>
      <c r="F159" t="s">
        <v>441</v>
      </c>
      <c r="G159" s="1" t="s">
        <v>626</v>
      </c>
      <c r="I159" s="23">
        <v>7108017</v>
      </c>
      <c r="K159" s="1" t="s">
        <v>780</v>
      </c>
      <c r="L159" s="1" t="s">
        <v>502</v>
      </c>
    </row>
    <row r="160" spans="1:12" ht="15.75" x14ac:dyDescent="0.25">
      <c r="A160" t="s">
        <v>781</v>
      </c>
      <c r="B160" t="s">
        <v>739</v>
      </c>
      <c r="C160" t="s">
        <v>45</v>
      </c>
      <c r="D160" s="1" t="s">
        <v>502</v>
      </c>
      <c r="E160" t="s">
        <v>779</v>
      </c>
      <c r="F160" t="s">
        <v>441</v>
      </c>
      <c r="G160" s="1" t="s">
        <v>399</v>
      </c>
      <c r="I160" s="23">
        <v>7108018</v>
      </c>
      <c r="K160" s="1" t="s">
        <v>782</v>
      </c>
      <c r="L160" s="1" t="s">
        <v>502</v>
      </c>
    </row>
    <row r="161" spans="1:12" ht="15.75" x14ac:dyDescent="0.25">
      <c r="A161" t="s">
        <v>783</v>
      </c>
      <c r="B161" t="s">
        <v>739</v>
      </c>
      <c r="C161" t="s">
        <v>45</v>
      </c>
      <c r="D161" s="1" t="s">
        <v>502</v>
      </c>
      <c r="E161" t="s">
        <v>779</v>
      </c>
      <c r="F161" t="s">
        <v>441</v>
      </c>
      <c r="G161" s="1" t="s">
        <v>399</v>
      </c>
      <c r="I161" s="23">
        <v>7108019</v>
      </c>
      <c r="K161" s="1" t="s">
        <v>784</v>
      </c>
      <c r="L161" s="1" t="s">
        <v>502</v>
      </c>
    </row>
    <row r="162" spans="1:12" ht="15.75" x14ac:dyDescent="0.25">
      <c r="A162" t="s">
        <v>785</v>
      </c>
      <c r="B162" t="s">
        <v>739</v>
      </c>
      <c r="C162" t="s">
        <v>45</v>
      </c>
      <c r="D162" s="1" t="s">
        <v>502</v>
      </c>
      <c r="E162" t="s">
        <v>779</v>
      </c>
      <c r="F162" t="s">
        <v>441</v>
      </c>
      <c r="G162" s="1" t="s">
        <v>399</v>
      </c>
      <c r="I162" s="23">
        <v>7108020</v>
      </c>
      <c r="K162" s="1" t="s">
        <v>786</v>
      </c>
      <c r="L162" s="1" t="s">
        <v>502</v>
      </c>
    </row>
    <row r="163" spans="1:12" ht="15.75" x14ac:dyDescent="0.25">
      <c r="A163" t="s">
        <v>787</v>
      </c>
      <c r="B163" t="s">
        <v>739</v>
      </c>
      <c r="C163" t="s">
        <v>45</v>
      </c>
      <c r="D163" s="1" t="s">
        <v>502</v>
      </c>
      <c r="E163" t="s">
        <v>779</v>
      </c>
      <c r="F163" t="s">
        <v>441</v>
      </c>
      <c r="G163" s="1" t="s">
        <v>399</v>
      </c>
      <c r="I163" s="23">
        <v>7108021</v>
      </c>
      <c r="K163" s="1" t="s">
        <v>788</v>
      </c>
      <c r="L163" s="1" t="s">
        <v>502</v>
      </c>
    </row>
    <row r="164" spans="1:12" ht="15.75" x14ac:dyDescent="0.25">
      <c r="A164" t="s">
        <v>789</v>
      </c>
      <c r="B164" t="s">
        <v>739</v>
      </c>
      <c r="C164" t="s">
        <v>45</v>
      </c>
      <c r="D164" s="1" t="s">
        <v>502</v>
      </c>
      <c r="E164" t="s">
        <v>503</v>
      </c>
      <c r="F164" t="s">
        <v>441</v>
      </c>
      <c r="G164" s="1" t="s">
        <v>399</v>
      </c>
      <c r="I164" s="23">
        <v>7108022</v>
      </c>
      <c r="K164" s="1" t="s">
        <v>790</v>
      </c>
      <c r="L164" s="1" t="s">
        <v>502</v>
      </c>
    </row>
    <row r="165" spans="1:12" ht="45" x14ac:dyDescent="0.25">
      <c r="A165" t="s">
        <v>791</v>
      </c>
      <c r="B165" t="s">
        <v>739</v>
      </c>
      <c r="C165" t="s">
        <v>45</v>
      </c>
      <c r="D165" s="1" t="s">
        <v>502</v>
      </c>
      <c r="E165" t="s">
        <v>625</v>
      </c>
      <c r="F165" t="s">
        <v>441</v>
      </c>
      <c r="G165" s="1" t="s">
        <v>1601</v>
      </c>
      <c r="I165" s="23">
        <v>7108023</v>
      </c>
      <c r="K165" s="1" t="s">
        <v>792</v>
      </c>
      <c r="L165" s="1" t="s">
        <v>502</v>
      </c>
    </row>
    <row r="166" spans="1:12" ht="15.75" x14ac:dyDescent="0.25">
      <c r="A166" t="s">
        <v>793</v>
      </c>
      <c r="B166" t="s">
        <v>739</v>
      </c>
      <c r="C166" t="s">
        <v>45</v>
      </c>
      <c r="D166" s="1" t="s">
        <v>502</v>
      </c>
      <c r="E166" t="s">
        <v>509</v>
      </c>
      <c r="F166" t="s">
        <v>441</v>
      </c>
      <c r="G166" s="1" t="s">
        <v>569</v>
      </c>
      <c r="I166" s="23">
        <v>7108024</v>
      </c>
      <c r="K166" s="1" t="s">
        <v>794</v>
      </c>
      <c r="L166" s="1" t="s">
        <v>502</v>
      </c>
    </row>
    <row r="167" spans="1:12" ht="15.75" x14ac:dyDescent="0.25">
      <c r="A167" t="s">
        <v>795</v>
      </c>
      <c r="B167" t="s">
        <v>739</v>
      </c>
      <c r="C167" t="s">
        <v>45</v>
      </c>
      <c r="D167" s="1" t="s">
        <v>502</v>
      </c>
      <c r="E167" t="s">
        <v>509</v>
      </c>
      <c r="F167" t="s">
        <v>441</v>
      </c>
      <c r="G167" s="1" t="s">
        <v>569</v>
      </c>
      <c r="I167" s="23">
        <v>7108025</v>
      </c>
      <c r="K167" s="1" t="s">
        <v>796</v>
      </c>
      <c r="L167" s="1" t="s">
        <v>502</v>
      </c>
    </row>
    <row r="168" spans="1:12" ht="15.75" x14ac:dyDescent="0.25">
      <c r="A168" t="s">
        <v>797</v>
      </c>
      <c r="B168" t="s">
        <v>739</v>
      </c>
      <c r="C168" t="s">
        <v>45</v>
      </c>
      <c r="D168" s="1" t="s">
        <v>502</v>
      </c>
      <c r="E168" t="s">
        <v>509</v>
      </c>
      <c r="F168" t="s">
        <v>441</v>
      </c>
      <c r="G168" s="1" t="s">
        <v>408</v>
      </c>
      <c r="I168" s="23">
        <v>7108026</v>
      </c>
      <c r="K168" s="1" t="s">
        <v>798</v>
      </c>
      <c r="L168" s="1" t="s">
        <v>502</v>
      </c>
    </row>
    <row r="169" spans="1:12" ht="15.75" x14ac:dyDescent="0.25">
      <c r="A169" t="s">
        <v>799</v>
      </c>
      <c r="B169" t="s">
        <v>739</v>
      </c>
      <c r="C169" t="s">
        <v>45</v>
      </c>
      <c r="D169" s="1" t="s">
        <v>502</v>
      </c>
      <c r="E169" t="s">
        <v>509</v>
      </c>
      <c r="F169" t="s">
        <v>441</v>
      </c>
      <c r="G169" s="1" t="s">
        <v>626</v>
      </c>
      <c r="I169" s="23">
        <v>7108027</v>
      </c>
      <c r="K169" s="1" t="s">
        <v>800</v>
      </c>
      <c r="L169" s="1" t="s">
        <v>502</v>
      </c>
    </row>
    <row r="170" spans="1:12" ht="15.75" x14ac:dyDescent="0.25">
      <c r="A170" t="s">
        <v>801</v>
      </c>
      <c r="B170" t="s">
        <v>739</v>
      </c>
      <c r="C170" t="s">
        <v>45</v>
      </c>
      <c r="D170" s="1" t="s">
        <v>502</v>
      </c>
      <c r="E170" t="s">
        <v>652</v>
      </c>
      <c r="F170" t="s">
        <v>441</v>
      </c>
      <c r="G170" s="1" t="s">
        <v>399</v>
      </c>
      <c r="I170" s="23">
        <v>7108028</v>
      </c>
      <c r="K170" s="1" t="s">
        <v>802</v>
      </c>
      <c r="L170" s="1" t="s">
        <v>502</v>
      </c>
    </row>
    <row r="171" spans="1:12" ht="30" x14ac:dyDescent="0.25">
      <c r="A171" t="s">
        <v>803</v>
      </c>
      <c r="B171" t="s">
        <v>739</v>
      </c>
      <c r="C171" t="s">
        <v>45</v>
      </c>
      <c r="D171" s="1" t="s">
        <v>484</v>
      </c>
      <c r="E171" t="s">
        <v>804</v>
      </c>
      <c r="F171" t="s">
        <v>443</v>
      </c>
      <c r="G171" s="1" t="s">
        <v>494</v>
      </c>
      <c r="I171" s="23">
        <v>7108029</v>
      </c>
      <c r="K171" s="1" t="s">
        <v>805</v>
      </c>
      <c r="L171" s="1" t="s">
        <v>484</v>
      </c>
    </row>
    <row r="172" spans="1:12" ht="30" x14ac:dyDescent="0.25">
      <c r="A172" t="s">
        <v>806</v>
      </c>
      <c r="B172" t="s">
        <v>739</v>
      </c>
      <c r="C172" t="s">
        <v>45</v>
      </c>
      <c r="D172" s="1" t="s">
        <v>484</v>
      </c>
      <c r="E172" t="s">
        <v>485</v>
      </c>
      <c r="F172" t="s">
        <v>443</v>
      </c>
      <c r="G172" s="1" t="s">
        <v>399</v>
      </c>
      <c r="I172" s="23">
        <v>7108030</v>
      </c>
      <c r="K172" s="1" t="s">
        <v>807</v>
      </c>
      <c r="L172" s="1" t="s">
        <v>484</v>
      </c>
    </row>
    <row r="173" spans="1:12" ht="30" x14ac:dyDescent="0.25">
      <c r="A173" t="s">
        <v>808</v>
      </c>
      <c r="B173" t="s">
        <v>739</v>
      </c>
      <c r="C173" t="s">
        <v>45</v>
      </c>
      <c r="D173" s="1" t="s">
        <v>484</v>
      </c>
      <c r="E173" t="s">
        <v>571</v>
      </c>
      <c r="F173" t="s">
        <v>443</v>
      </c>
      <c r="G173" s="1" t="s">
        <v>399</v>
      </c>
      <c r="I173" s="23">
        <v>7108031</v>
      </c>
      <c r="K173" s="1" t="s">
        <v>809</v>
      </c>
      <c r="L173" s="1" t="s">
        <v>484</v>
      </c>
    </row>
    <row r="174" spans="1:12" ht="30" x14ac:dyDescent="0.25">
      <c r="A174" t="s">
        <v>810</v>
      </c>
      <c r="B174" t="s">
        <v>739</v>
      </c>
      <c r="C174" t="s">
        <v>45</v>
      </c>
      <c r="D174" s="1" t="s">
        <v>484</v>
      </c>
      <c r="E174" t="s">
        <v>549</v>
      </c>
      <c r="F174" t="s">
        <v>443</v>
      </c>
      <c r="G174" s="1" t="s">
        <v>399</v>
      </c>
      <c r="I174" s="23">
        <v>7108032</v>
      </c>
      <c r="K174" s="1" t="s">
        <v>811</v>
      </c>
      <c r="L174" s="1" t="s">
        <v>484</v>
      </c>
    </row>
    <row r="175" spans="1:12" ht="30" x14ac:dyDescent="0.25">
      <c r="A175" t="s">
        <v>812</v>
      </c>
      <c r="B175" t="s">
        <v>739</v>
      </c>
      <c r="C175" t="s">
        <v>45</v>
      </c>
      <c r="D175" s="1" t="s">
        <v>484</v>
      </c>
      <c r="E175" t="s">
        <v>813</v>
      </c>
      <c r="F175" t="s">
        <v>443</v>
      </c>
      <c r="G175" s="1" t="s">
        <v>399</v>
      </c>
      <c r="I175" s="23">
        <v>7108033</v>
      </c>
      <c r="K175" s="1" t="s">
        <v>814</v>
      </c>
      <c r="L175" s="1" t="s">
        <v>484</v>
      </c>
    </row>
    <row r="176" spans="1:12" ht="30" x14ac:dyDescent="0.25">
      <c r="A176" t="s">
        <v>815</v>
      </c>
      <c r="B176" t="s">
        <v>739</v>
      </c>
      <c r="C176" t="s">
        <v>45</v>
      </c>
      <c r="D176" s="1" t="s">
        <v>484</v>
      </c>
      <c r="E176" t="s">
        <v>813</v>
      </c>
      <c r="F176" t="s">
        <v>443</v>
      </c>
      <c r="G176" s="1" t="s">
        <v>399</v>
      </c>
      <c r="I176" s="23">
        <v>7108034</v>
      </c>
      <c r="K176" s="1" t="s">
        <v>816</v>
      </c>
      <c r="L176" s="1" t="s">
        <v>484</v>
      </c>
    </row>
    <row r="177" spans="1:12" ht="30" x14ac:dyDescent="0.25">
      <c r="A177" t="s">
        <v>817</v>
      </c>
      <c r="B177" t="s">
        <v>739</v>
      </c>
      <c r="C177" t="s">
        <v>45</v>
      </c>
      <c r="D177" s="1" t="s">
        <v>484</v>
      </c>
      <c r="E177" t="s">
        <v>813</v>
      </c>
      <c r="F177" t="s">
        <v>443</v>
      </c>
      <c r="G177" s="1" t="s">
        <v>399</v>
      </c>
      <c r="I177" s="23">
        <v>7108035</v>
      </c>
      <c r="K177" s="1" t="s">
        <v>818</v>
      </c>
      <c r="L177" s="1" t="s">
        <v>484</v>
      </c>
    </row>
    <row r="178" spans="1:12" ht="45" x14ac:dyDescent="0.25">
      <c r="A178" t="s">
        <v>819</v>
      </c>
      <c r="B178" t="s">
        <v>739</v>
      </c>
      <c r="C178" t="s">
        <v>45</v>
      </c>
      <c r="D178" s="1" t="s">
        <v>484</v>
      </c>
      <c r="E178" t="s">
        <v>820</v>
      </c>
      <c r="F178" t="s">
        <v>443</v>
      </c>
      <c r="G178" s="1" t="s">
        <v>575</v>
      </c>
      <c r="I178" s="23">
        <v>7108036</v>
      </c>
      <c r="K178" s="1" t="s">
        <v>821</v>
      </c>
      <c r="L178" s="1" t="s">
        <v>484</v>
      </c>
    </row>
    <row r="179" spans="1:12" ht="45" x14ac:dyDescent="0.25">
      <c r="A179" t="s">
        <v>822</v>
      </c>
      <c r="B179" t="s">
        <v>739</v>
      </c>
      <c r="C179" t="s">
        <v>45</v>
      </c>
      <c r="D179" s="1" t="s">
        <v>484</v>
      </c>
      <c r="E179" t="s">
        <v>820</v>
      </c>
      <c r="F179" t="s">
        <v>443</v>
      </c>
      <c r="G179" s="1" t="s">
        <v>575</v>
      </c>
      <c r="I179" s="23">
        <v>7108037</v>
      </c>
      <c r="K179" s="1" t="s">
        <v>823</v>
      </c>
      <c r="L179" s="1" t="s">
        <v>484</v>
      </c>
    </row>
    <row r="180" spans="1:12" ht="30" x14ac:dyDescent="0.25">
      <c r="A180" t="s">
        <v>824</v>
      </c>
      <c r="B180" t="s">
        <v>739</v>
      </c>
      <c r="C180" t="s">
        <v>45</v>
      </c>
      <c r="D180" s="1" t="s">
        <v>484</v>
      </c>
      <c r="E180" t="s">
        <v>654</v>
      </c>
      <c r="F180" t="s">
        <v>443</v>
      </c>
      <c r="G180" s="1" t="s">
        <v>399</v>
      </c>
      <c r="I180" s="23">
        <v>7108038</v>
      </c>
      <c r="K180" s="1" t="s">
        <v>825</v>
      </c>
      <c r="L180" s="1" t="s">
        <v>484</v>
      </c>
    </row>
    <row r="181" spans="1:12" ht="30" x14ac:dyDescent="0.25">
      <c r="A181" t="s">
        <v>826</v>
      </c>
      <c r="B181" t="s">
        <v>739</v>
      </c>
      <c r="C181" t="s">
        <v>45</v>
      </c>
      <c r="D181" s="1" t="s">
        <v>484</v>
      </c>
      <c r="E181" t="s">
        <v>656</v>
      </c>
      <c r="F181" t="s">
        <v>443</v>
      </c>
      <c r="G181" s="1" t="s">
        <v>399</v>
      </c>
      <c r="I181" s="23">
        <v>7108039</v>
      </c>
      <c r="K181" s="1" t="s">
        <v>827</v>
      </c>
      <c r="L181" s="1" t="s">
        <v>484</v>
      </c>
    </row>
    <row r="182" spans="1:12" ht="30" x14ac:dyDescent="0.25">
      <c r="A182" t="s">
        <v>828</v>
      </c>
      <c r="B182" t="s">
        <v>739</v>
      </c>
      <c r="C182" t="s">
        <v>45</v>
      </c>
      <c r="D182" s="1" t="s">
        <v>484</v>
      </c>
      <c r="E182" t="s">
        <v>656</v>
      </c>
      <c r="F182" t="s">
        <v>443</v>
      </c>
      <c r="G182" s="1" t="s">
        <v>399</v>
      </c>
      <c r="I182" s="23">
        <v>7108040</v>
      </c>
      <c r="K182" s="1" t="s">
        <v>829</v>
      </c>
      <c r="L182" s="1" t="s">
        <v>484</v>
      </c>
    </row>
    <row r="183" spans="1:12" ht="30" x14ac:dyDescent="0.25">
      <c r="A183" t="s">
        <v>830</v>
      </c>
      <c r="B183" t="s">
        <v>739</v>
      </c>
      <c r="C183" t="s">
        <v>45</v>
      </c>
      <c r="D183" s="1" t="s">
        <v>484</v>
      </c>
      <c r="E183" t="s">
        <v>831</v>
      </c>
      <c r="F183" t="s">
        <v>443</v>
      </c>
      <c r="G183" s="1" t="s">
        <v>399</v>
      </c>
      <c r="I183" s="23">
        <v>7108041</v>
      </c>
      <c r="K183" s="1" t="s">
        <v>832</v>
      </c>
      <c r="L183" s="1" t="s">
        <v>484</v>
      </c>
    </row>
    <row r="184" spans="1:12" ht="30" x14ac:dyDescent="0.25">
      <c r="A184" t="s">
        <v>833</v>
      </c>
      <c r="B184" t="s">
        <v>739</v>
      </c>
      <c r="C184" t="s">
        <v>45</v>
      </c>
      <c r="D184" s="1" t="s">
        <v>484</v>
      </c>
      <c r="E184" t="s">
        <v>655</v>
      </c>
      <c r="F184" t="s">
        <v>443</v>
      </c>
      <c r="G184" s="1" t="s">
        <v>399</v>
      </c>
      <c r="I184" s="23">
        <v>7108042</v>
      </c>
      <c r="K184" s="1" t="s">
        <v>834</v>
      </c>
      <c r="L184" s="1" t="s">
        <v>484</v>
      </c>
    </row>
    <row r="185" spans="1:12" ht="30" x14ac:dyDescent="0.25">
      <c r="A185" t="s">
        <v>835</v>
      </c>
      <c r="B185" t="s">
        <v>739</v>
      </c>
      <c r="C185" t="s">
        <v>45</v>
      </c>
      <c r="D185" s="1" t="s">
        <v>484</v>
      </c>
      <c r="E185" t="s">
        <v>836</v>
      </c>
      <c r="F185" t="s">
        <v>443</v>
      </c>
      <c r="G185" s="1" t="s">
        <v>399</v>
      </c>
      <c r="I185" s="23">
        <v>7108043</v>
      </c>
      <c r="K185" s="1" t="s">
        <v>837</v>
      </c>
      <c r="L185" s="1" t="s">
        <v>484</v>
      </c>
    </row>
    <row r="186" spans="1:12" ht="30" x14ac:dyDescent="0.25">
      <c r="A186" t="s">
        <v>838</v>
      </c>
      <c r="B186" t="s">
        <v>739</v>
      </c>
      <c r="C186" t="s">
        <v>45</v>
      </c>
      <c r="D186" s="1" t="s">
        <v>512</v>
      </c>
      <c r="E186" t="s">
        <v>566</v>
      </c>
      <c r="F186" t="s">
        <v>445</v>
      </c>
      <c r="G186" s="1" t="s">
        <v>494</v>
      </c>
      <c r="I186" s="23">
        <v>7108044</v>
      </c>
      <c r="K186" s="1" t="s">
        <v>839</v>
      </c>
      <c r="L186" s="1" t="s">
        <v>840</v>
      </c>
    </row>
    <row r="187" spans="1:12" ht="30" x14ac:dyDescent="0.25">
      <c r="A187" t="s">
        <v>841</v>
      </c>
      <c r="B187" t="s">
        <v>739</v>
      </c>
      <c r="C187" t="s">
        <v>45</v>
      </c>
      <c r="D187" s="1" t="s">
        <v>512</v>
      </c>
      <c r="E187" t="s">
        <v>518</v>
      </c>
      <c r="F187" t="s">
        <v>445</v>
      </c>
      <c r="G187" s="1" t="s">
        <v>842</v>
      </c>
      <c r="I187" s="23">
        <v>7108045</v>
      </c>
      <c r="K187" s="1" t="s">
        <v>843</v>
      </c>
      <c r="L187" s="1" t="s">
        <v>512</v>
      </c>
    </row>
    <row r="188" spans="1:12" ht="30" x14ac:dyDescent="0.25">
      <c r="A188" t="s">
        <v>844</v>
      </c>
      <c r="B188" t="s">
        <v>739</v>
      </c>
      <c r="C188" t="s">
        <v>45</v>
      </c>
      <c r="D188" s="1" t="s">
        <v>512</v>
      </c>
      <c r="E188" t="s">
        <v>518</v>
      </c>
      <c r="F188" t="s">
        <v>445</v>
      </c>
      <c r="G188" s="1" t="s">
        <v>842</v>
      </c>
      <c r="I188" s="23">
        <v>7108046</v>
      </c>
      <c r="K188" s="1" t="s">
        <v>845</v>
      </c>
      <c r="L188" s="1" t="s">
        <v>512</v>
      </c>
    </row>
    <row r="189" spans="1:12" ht="30" x14ac:dyDescent="0.25">
      <c r="A189" t="s">
        <v>846</v>
      </c>
      <c r="B189" t="s">
        <v>739</v>
      </c>
      <c r="C189" t="s">
        <v>45</v>
      </c>
      <c r="D189" s="1" t="s">
        <v>512</v>
      </c>
      <c r="E189" t="s">
        <v>847</v>
      </c>
      <c r="F189" t="s">
        <v>445</v>
      </c>
      <c r="G189" s="1" t="s">
        <v>486</v>
      </c>
      <c r="I189" s="23">
        <v>7108047</v>
      </c>
      <c r="K189" s="1" t="s">
        <v>848</v>
      </c>
      <c r="L189" s="1" t="s">
        <v>512</v>
      </c>
    </row>
    <row r="190" spans="1:12" ht="30" x14ac:dyDescent="0.25">
      <c r="A190" t="s">
        <v>849</v>
      </c>
      <c r="B190" t="s">
        <v>739</v>
      </c>
      <c r="C190" t="s">
        <v>45</v>
      </c>
      <c r="D190" s="1" t="s">
        <v>512</v>
      </c>
      <c r="E190" t="s">
        <v>847</v>
      </c>
      <c r="F190" t="s">
        <v>445</v>
      </c>
      <c r="G190" s="1" t="s">
        <v>486</v>
      </c>
      <c r="I190" s="23">
        <v>7108048</v>
      </c>
      <c r="K190" s="1" t="s">
        <v>850</v>
      </c>
      <c r="L190" s="1" t="s">
        <v>512</v>
      </c>
    </row>
    <row r="191" spans="1:12" ht="30" x14ac:dyDescent="0.25">
      <c r="A191" t="s">
        <v>851</v>
      </c>
      <c r="B191" t="s">
        <v>739</v>
      </c>
      <c r="C191" t="s">
        <v>45</v>
      </c>
      <c r="D191" s="1" t="s">
        <v>512</v>
      </c>
      <c r="E191" t="s">
        <v>566</v>
      </c>
      <c r="F191" t="s">
        <v>445</v>
      </c>
      <c r="G191" s="1" t="s">
        <v>486</v>
      </c>
      <c r="I191" s="23">
        <v>7108049</v>
      </c>
      <c r="K191" s="1" t="s">
        <v>852</v>
      </c>
      <c r="L191" s="1" t="s">
        <v>512</v>
      </c>
    </row>
    <row r="192" spans="1:12" ht="30" x14ac:dyDescent="0.25">
      <c r="A192" t="s">
        <v>853</v>
      </c>
      <c r="B192" t="s">
        <v>739</v>
      </c>
      <c r="C192" t="s">
        <v>45</v>
      </c>
      <c r="D192" s="1" t="s">
        <v>512</v>
      </c>
      <c r="E192" t="s">
        <v>566</v>
      </c>
      <c r="F192" t="s">
        <v>445</v>
      </c>
      <c r="G192" s="1" t="s">
        <v>486</v>
      </c>
      <c r="I192" s="23">
        <v>7108050</v>
      </c>
      <c r="K192" s="1" t="s">
        <v>854</v>
      </c>
      <c r="L192" s="1" t="s">
        <v>512</v>
      </c>
    </row>
    <row r="193" spans="1:12" ht="30" x14ac:dyDescent="0.25">
      <c r="A193" t="s">
        <v>855</v>
      </c>
      <c r="B193" t="s">
        <v>739</v>
      </c>
      <c r="C193" t="s">
        <v>45</v>
      </c>
      <c r="D193" s="1" t="s">
        <v>512</v>
      </c>
      <c r="E193" t="s">
        <v>856</v>
      </c>
      <c r="F193" t="s">
        <v>445</v>
      </c>
      <c r="G193" s="1" t="s">
        <v>486</v>
      </c>
      <c r="I193" s="23">
        <v>7108051</v>
      </c>
      <c r="K193" s="1" t="s">
        <v>857</v>
      </c>
      <c r="L193" s="1" t="s">
        <v>512</v>
      </c>
    </row>
    <row r="194" spans="1:12" ht="30" x14ac:dyDescent="0.25">
      <c r="A194" t="s">
        <v>858</v>
      </c>
      <c r="B194" t="s">
        <v>739</v>
      </c>
      <c r="C194" t="s">
        <v>45</v>
      </c>
      <c r="D194" s="1" t="s">
        <v>512</v>
      </c>
      <c r="E194" t="s">
        <v>671</v>
      </c>
      <c r="F194" t="s">
        <v>445</v>
      </c>
      <c r="G194" s="1" t="s">
        <v>486</v>
      </c>
      <c r="I194" s="23">
        <v>7108052</v>
      </c>
      <c r="K194" s="1" t="s">
        <v>859</v>
      </c>
      <c r="L194" s="1" t="s">
        <v>512</v>
      </c>
    </row>
    <row r="195" spans="1:12" ht="30" x14ac:dyDescent="0.25">
      <c r="A195" t="s">
        <v>860</v>
      </c>
      <c r="B195" t="s">
        <v>739</v>
      </c>
      <c r="C195" t="s">
        <v>45</v>
      </c>
      <c r="D195" s="1" t="s">
        <v>512</v>
      </c>
      <c r="E195" t="s">
        <v>620</v>
      </c>
      <c r="F195" t="s">
        <v>445</v>
      </c>
      <c r="G195" s="1" t="s">
        <v>486</v>
      </c>
      <c r="I195" s="23">
        <v>7108053</v>
      </c>
      <c r="K195" s="1" t="s">
        <v>861</v>
      </c>
      <c r="L195" s="1" t="s">
        <v>512</v>
      </c>
    </row>
    <row r="196" spans="1:12" ht="30" x14ac:dyDescent="0.25">
      <c r="A196" t="s">
        <v>862</v>
      </c>
      <c r="B196" t="s">
        <v>739</v>
      </c>
      <c r="C196" t="s">
        <v>45</v>
      </c>
      <c r="D196" s="1" t="s">
        <v>512</v>
      </c>
      <c r="E196" t="s">
        <v>620</v>
      </c>
      <c r="F196" t="s">
        <v>445</v>
      </c>
      <c r="G196" s="1" t="s">
        <v>514</v>
      </c>
      <c r="I196" s="23">
        <v>7108054</v>
      </c>
      <c r="K196" s="1" t="s">
        <v>863</v>
      </c>
      <c r="L196" s="1" t="s">
        <v>512</v>
      </c>
    </row>
    <row r="197" spans="1:12" ht="30" x14ac:dyDescent="0.25">
      <c r="A197" t="s">
        <v>864</v>
      </c>
      <c r="B197" t="s">
        <v>739</v>
      </c>
      <c r="C197" t="s">
        <v>45</v>
      </c>
      <c r="D197" s="1" t="s">
        <v>512</v>
      </c>
      <c r="E197" t="s">
        <v>620</v>
      </c>
      <c r="F197" t="s">
        <v>445</v>
      </c>
      <c r="G197" s="1" t="s">
        <v>514</v>
      </c>
      <c r="I197" s="23">
        <v>7108055</v>
      </c>
      <c r="K197" s="1" t="s">
        <v>865</v>
      </c>
      <c r="L197" s="1" t="s">
        <v>512</v>
      </c>
    </row>
    <row r="198" spans="1:12" ht="30" x14ac:dyDescent="0.25">
      <c r="A198" t="s">
        <v>866</v>
      </c>
      <c r="B198" t="s">
        <v>739</v>
      </c>
      <c r="C198" t="s">
        <v>45</v>
      </c>
      <c r="D198" s="1" t="s">
        <v>512</v>
      </c>
      <c r="E198" t="s">
        <v>620</v>
      </c>
      <c r="F198" t="s">
        <v>445</v>
      </c>
      <c r="G198" s="1" t="s">
        <v>486</v>
      </c>
      <c r="I198" s="23">
        <v>7108056</v>
      </c>
      <c r="K198" s="1" t="s">
        <v>867</v>
      </c>
      <c r="L198" s="1" t="s">
        <v>512</v>
      </c>
    </row>
    <row r="199" spans="1:12" ht="30" x14ac:dyDescent="0.25">
      <c r="A199" t="s">
        <v>868</v>
      </c>
      <c r="B199" t="s">
        <v>739</v>
      </c>
      <c r="C199" t="s">
        <v>45</v>
      </c>
      <c r="D199" s="1" t="s">
        <v>512</v>
      </c>
      <c r="E199" t="s">
        <v>869</v>
      </c>
      <c r="F199" t="s">
        <v>445</v>
      </c>
      <c r="G199" s="1" t="s">
        <v>486</v>
      </c>
      <c r="I199" s="23">
        <v>7108057</v>
      </c>
      <c r="K199" s="1" t="s">
        <v>870</v>
      </c>
      <c r="L199" s="1" t="s">
        <v>512</v>
      </c>
    </row>
    <row r="200" spans="1:12" ht="30" x14ac:dyDescent="0.25">
      <c r="A200" t="s">
        <v>871</v>
      </c>
      <c r="B200" t="s">
        <v>739</v>
      </c>
      <c r="C200" t="s">
        <v>45</v>
      </c>
      <c r="D200" s="1" t="s">
        <v>512</v>
      </c>
      <c r="E200" t="s">
        <v>869</v>
      </c>
      <c r="F200" t="s">
        <v>445</v>
      </c>
      <c r="G200" s="1" t="s">
        <v>486</v>
      </c>
      <c r="I200" s="23">
        <v>7108058</v>
      </c>
      <c r="K200" s="1" t="s">
        <v>872</v>
      </c>
      <c r="L200" s="1" t="s">
        <v>512</v>
      </c>
    </row>
    <row r="201" spans="1:12" ht="30" x14ac:dyDescent="0.25">
      <c r="A201" t="s">
        <v>873</v>
      </c>
      <c r="B201" t="s">
        <v>739</v>
      </c>
      <c r="C201" t="s">
        <v>45</v>
      </c>
      <c r="D201" s="1" t="s">
        <v>512</v>
      </c>
      <c r="E201" t="s">
        <v>543</v>
      </c>
      <c r="F201" t="s">
        <v>445</v>
      </c>
      <c r="G201" s="1" t="s">
        <v>486</v>
      </c>
      <c r="I201" s="23">
        <v>7108059</v>
      </c>
      <c r="K201" s="1" t="s">
        <v>874</v>
      </c>
      <c r="L201" s="1" t="s">
        <v>512</v>
      </c>
    </row>
    <row r="202" spans="1:12" ht="30" x14ac:dyDescent="0.25">
      <c r="A202" t="s">
        <v>875</v>
      </c>
      <c r="B202" t="s">
        <v>739</v>
      </c>
      <c r="C202" t="s">
        <v>45</v>
      </c>
      <c r="D202" s="1" t="s">
        <v>512</v>
      </c>
      <c r="E202" t="s">
        <v>541</v>
      </c>
      <c r="F202" t="s">
        <v>445</v>
      </c>
      <c r="G202" s="1" t="s">
        <v>486</v>
      </c>
      <c r="I202" s="23">
        <v>7108060</v>
      </c>
      <c r="K202" s="1" t="s">
        <v>876</v>
      </c>
      <c r="L202" s="1" t="s">
        <v>512</v>
      </c>
    </row>
    <row r="203" spans="1:12" ht="30" x14ac:dyDescent="0.25">
      <c r="A203" t="s">
        <v>877</v>
      </c>
      <c r="B203" t="s">
        <v>739</v>
      </c>
      <c r="C203" t="s">
        <v>45</v>
      </c>
      <c r="D203" s="1" t="s">
        <v>512</v>
      </c>
      <c r="E203" t="s">
        <v>878</v>
      </c>
      <c r="F203" t="s">
        <v>445</v>
      </c>
      <c r="G203" s="1" t="s">
        <v>486</v>
      </c>
      <c r="I203" s="23">
        <v>7108061</v>
      </c>
      <c r="K203" s="1" t="s">
        <v>879</v>
      </c>
      <c r="L203" s="1" t="s">
        <v>512</v>
      </c>
    </row>
    <row r="204" spans="1:12" ht="30" x14ac:dyDescent="0.25">
      <c r="A204" t="s">
        <v>880</v>
      </c>
      <c r="B204" t="s">
        <v>739</v>
      </c>
      <c r="C204" t="s">
        <v>45</v>
      </c>
      <c r="D204" s="1" t="s">
        <v>512</v>
      </c>
      <c r="E204" t="s">
        <v>878</v>
      </c>
      <c r="F204" t="s">
        <v>445</v>
      </c>
      <c r="G204" s="1" t="s">
        <v>486</v>
      </c>
      <c r="I204" s="23">
        <v>7108062</v>
      </c>
      <c r="K204" s="1" t="s">
        <v>881</v>
      </c>
      <c r="L204" s="1" t="s">
        <v>512</v>
      </c>
    </row>
    <row r="205" spans="1:12" ht="30" x14ac:dyDescent="0.25">
      <c r="A205" t="s">
        <v>882</v>
      </c>
      <c r="B205" t="s">
        <v>739</v>
      </c>
      <c r="C205" t="s">
        <v>45</v>
      </c>
      <c r="D205" s="1" t="s">
        <v>512</v>
      </c>
      <c r="E205" t="s">
        <v>878</v>
      </c>
      <c r="F205" t="s">
        <v>445</v>
      </c>
      <c r="G205" s="1" t="s">
        <v>494</v>
      </c>
      <c r="I205" s="23">
        <v>7108063</v>
      </c>
      <c r="K205" s="1" t="s">
        <v>883</v>
      </c>
      <c r="L205" s="1" t="s">
        <v>512</v>
      </c>
    </row>
    <row r="206" spans="1:12" ht="15.75" x14ac:dyDescent="0.25">
      <c r="A206" t="s">
        <v>884</v>
      </c>
      <c r="B206" t="s">
        <v>739</v>
      </c>
      <c r="C206" t="s">
        <v>45</v>
      </c>
      <c r="D206" s="1" t="s">
        <v>488</v>
      </c>
      <c r="E206" t="s">
        <v>885</v>
      </c>
      <c r="F206" t="s">
        <v>447</v>
      </c>
      <c r="G206" s="1" t="s">
        <v>500</v>
      </c>
      <c r="I206" s="23">
        <v>7108064</v>
      </c>
      <c r="K206" s="1" t="s">
        <v>886</v>
      </c>
      <c r="L206" s="1" t="s">
        <v>488</v>
      </c>
    </row>
    <row r="207" spans="1:12" ht="15.75" x14ac:dyDescent="0.25">
      <c r="A207" t="s">
        <v>887</v>
      </c>
      <c r="B207" t="s">
        <v>739</v>
      </c>
      <c r="C207" t="s">
        <v>45</v>
      </c>
      <c r="D207" s="1" t="s">
        <v>488</v>
      </c>
      <c r="E207" t="s">
        <v>888</v>
      </c>
      <c r="F207" t="s">
        <v>447</v>
      </c>
      <c r="G207" s="1" t="s">
        <v>399</v>
      </c>
      <c r="I207" s="23">
        <v>7108065</v>
      </c>
      <c r="K207" s="1" t="s">
        <v>889</v>
      </c>
      <c r="L207" s="1" t="s">
        <v>488</v>
      </c>
    </row>
    <row r="208" spans="1:12" ht="15.75" x14ac:dyDescent="0.25">
      <c r="A208" t="s">
        <v>890</v>
      </c>
      <c r="B208" t="s">
        <v>739</v>
      </c>
      <c r="C208" t="s">
        <v>45</v>
      </c>
      <c r="D208" s="1" t="s">
        <v>488</v>
      </c>
      <c r="E208" t="s">
        <v>888</v>
      </c>
      <c r="F208" t="s">
        <v>447</v>
      </c>
      <c r="G208" s="1" t="s">
        <v>399</v>
      </c>
      <c r="I208" s="23">
        <v>7108066</v>
      </c>
      <c r="K208" s="1" t="s">
        <v>891</v>
      </c>
      <c r="L208" s="1" t="s">
        <v>488</v>
      </c>
    </row>
    <row r="209" spans="1:12" ht="15.75" x14ac:dyDescent="0.25">
      <c r="A209" t="s">
        <v>892</v>
      </c>
      <c r="B209" t="s">
        <v>739</v>
      </c>
      <c r="C209" t="s">
        <v>45</v>
      </c>
      <c r="D209" s="1" t="s">
        <v>488</v>
      </c>
      <c r="E209" t="s">
        <v>893</v>
      </c>
      <c r="F209" t="s">
        <v>447</v>
      </c>
      <c r="G209" s="1" t="s">
        <v>494</v>
      </c>
      <c r="I209" s="23">
        <v>7108067</v>
      </c>
      <c r="K209" s="1" t="s">
        <v>894</v>
      </c>
      <c r="L209" s="1" t="s">
        <v>488</v>
      </c>
    </row>
    <row r="210" spans="1:12" ht="15.75" x14ac:dyDescent="0.25">
      <c r="A210" t="s">
        <v>895</v>
      </c>
      <c r="B210" t="s">
        <v>739</v>
      </c>
      <c r="C210" t="s">
        <v>45</v>
      </c>
      <c r="D210" s="1" t="s">
        <v>488</v>
      </c>
      <c r="E210" t="s">
        <v>896</v>
      </c>
      <c r="F210" t="s">
        <v>447</v>
      </c>
      <c r="G210" s="1" t="s">
        <v>399</v>
      </c>
      <c r="I210" s="23">
        <v>7108068</v>
      </c>
      <c r="K210" s="1" t="s">
        <v>897</v>
      </c>
      <c r="L210" s="1" t="s">
        <v>488</v>
      </c>
    </row>
    <row r="211" spans="1:12" ht="15.75" x14ac:dyDescent="0.25">
      <c r="A211" t="s">
        <v>898</v>
      </c>
      <c r="B211" t="s">
        <v>739</v>
      </c>
      <c r="C211" t="s">
        <v>45</v>
      </c>
      <c r="D211" s="1" t="s">
        <v>488</v>
      </c>
      <c r="E211" t="s">
        <v>896</v>
      </c>
      <c r="F211" t="s">
        <v>447</v>
      </c>
      <c r="G211" s="1" t="s">
        <v>626</v>
      </c>
      <c r="I211" s="23">
        <v>7108069</v>
      </c>
      <c r="K211" s="1" t="s">
        <v>899</v>
      </c>
      <c r="L211" s="1" t="s">
        <v>488</v>
      </c>
    </row>
    <row r="212" spans="1:12" ht="30" x14ac:dyDescent="0.25">
      <c r="A212" t="s">
        <v>900</v>
      </c>
      <c r="B212" t="s">
        <v>739</v>
      </c>
      <c r="C212" t="s">
        <v>45</v>
      </c>
      <c r="D212" s="1" t="s">
        <v>488</v>
      </c>
      <c r="E212" t="s">
        <v>896</v>
      </c>
      <c r="F212" t="s">
        <v>447</v>
      </c>
      <c r="G212" s="1" t="s">
        <v>497</v>
      </c>
      <c r="I212" s="23">
        <v>7108070</v>
      </c>
      <c r="K212" s="1" t="s">
        <v>901</v>
      </c>
      <c r="L212" s="1" t="s">
        <v>488</v>
      </c>
    </row>
    <row r="213" spans="1:12" ht="15.75" x14ac:dyDescent="0.25">
      <c r="A213" t="s">
        <v>902</v>
      </c>
      <c r="B213" t="s">
        <v>739</v>
      </c>
      <c r="C213" t="s">
        <v>45</v>
      </c>
      <c r="D213" s="1" t="s">
        <v>488</v>
      </c>
      <c r="E213" t="s">
        <v>896</v>
      </c>
      <c r="F213" t="s">
        <v>447</v>
      </c>
      <c r="G213" s="1" t="s">
        <v>399</v>
      </c>
      <c r="I213" s="23">
        <v>7108071</v>
      </c>
      <c r="K213" s="1" t="s">
        <v>903</v>
      </c>
      <c r="L213" s="1" t="s">
        <v>488</v>
      </c>
    </row>
    <row r="214" spans="1:12" ht="15.75" x14ac:dyDescent="0.25">
      <c r="A214" t="s">
        <v>904</v>
      </c>
      <c r="B214" t="s">
        <v>739</v>
      </c>
      <c r="C214" t="s">
        <v>45</v>
      </c>
      <c r="D214" s="1" t="s">
        <v>488</v>
      </c>
      <c r="E214" t="s">
        <v>896</v>
      </c>
      <c r="F214" t="s">
        <v>447</v>
      </c>
      <c r="G214" s="1" t="s">
        <v>399</v>
      </c>
      <c r="I214" s="23">
        <v>7108072</v>
      </c>
      <c r="K214" s="1" t="s">
        <v>905</v>
      </c>
      <c r="L214" s="1" t="s">
        <v>488</v>
      </c>
    </row>
    <row r="215" spans="1:12" ht="15.75" x14ac:dyDescent="0.25">
      <c r="A215" t="s">
        <v>906</v>
      </c>
      <c r="B215" t="s">
        <v>739</v>
      </c>
      <c r="C215" t="s">
        <v>45</v>
      </c>
      <c r="D215" s="1" t="s">
        <v>488</v>
      </c>
      <c r="E215" t="s">
        <v>907</v>
      </c>
      <c r="F215" t="s">
        <v>447</v>
      </c>
      <c r="G215" s="1" t="s">
        <v>626</v>
      </c>
      <c r="I215" s="23">
        <v>7108073</v>
      </c>
      <c r="K215" s="1" t="s">
        <v>908</v>
      </c>
      <c r="L215" s="1" t="s">
        <v>488</v>
      </c>
    </row>
    <row r="216" spans="1:12" ht="15.75" x14ac:dyDescent="0.25">
      <c r="A216" t="s">
        <v>909</v>
      </c>
      <c r="B216" t="s">
        <v>739</v>
      </c>
      <c r="C216" t="s">
        <v>45</v>
      </c>
      <c r="D216" s="1" t="s">
        <v>488</v>
      </c>
      <c r="E216" t="s">
        <v>907</v>
      </c>
      <c r="F216" t="s">
        <v>447</v>
      </c>
      <c r="G216" s="1" t="s">
        <v>626</v>
      </c>
      <c r="I216" s="23">
        <v>7108074</v>
      </c>
      <c r="K216" s="1" t="s">
        <v>910</v>
      </c>
      <c r="L216" s="1" t="s">
        <v>488</v>
      </c>
    </row>
    <row r="217" spans="1:12" ht="15.75" x14ac:dyDescent="0.25">
      <c r="A217" t="s">
        <v>911</v>
      </c>
      <c r="B217" t="s">
        <v>739</v>
      </c>
      <c r="C217" t="s">
        <v>45</v>
      </c>
      <c r="D217" s="1" t="s">
        <v>488</v>
      </c>
      <c r="E217" t="s">
        <v>912</v>
      </c>
      <c r="F217" t="s">
        <v>447</v>
      </c>
      <c r="G217" s="1" t="s">
        <v>399</v>
      </c>
      <c r="I217" s="23">
        <v>7108075</v>
      </c>
      <c r="K217" s="1" t="s">
        <v>913</v>
      </c>
      <c r="L217" s="1" t="s">
        <v>488</v>
      </c>
    </row>
    <row r="218" spans="1:12" ht="15.75" x14ac:dyDescent="0.25">
      <c r="A218" t="s">
        <v>914</v>
      </c>
      <c r="B218" t="s">
        <v>739</v>
      </c>
      <c r="C218" t="s">
        <v>45</v>
      </c>
      <c r="D218" s="1" t="s">
        <v>488</v>
      </c>
      <c r="E218" t="s">
        <v>912</v>
      </c>
      <c r="F218" t="s">
        <v>447</v>
      </c>
      <c r="G218" s="1" t="s">
        <v>494</v>
      </c>
      <c r="I218" s="23">
        <v>7108076</v>
      </c>
      <c r="K218" s="1" t="s">
        <v>915</v>
      </c>
      <c r="L218" s="1" t="s">
        <v>488</v>
      </c>
    </row>
    <row r="219" spans="1:12" ht="15.75" x14ac:dyDescent="0.25">
      <c r="A219" t="s">
        <v>916</v>
      </c>
      <c r="B219" t="s">
        <v>739</v>
      </c>
      <c r="C219" t="s">
        <v>45</v>
      </c>
      <c r="D219" s="1" t="s">
        <v>488</v>
      </c>
      <c r="E219" t="s">
        <v>912</v>
      </c>
      <c r="F219" t="s">
        <v>447</v>
      </c>
      <c r="G219" s="1" t="s">
        <v>626</v>
      </c>
      <c r="I219" s="23">
        <v>7108077</v>
      </c>
      <c r="K219" s="1" t="s">
        <v>917</v>
      </c>
      <c r="L219" s="1" t="s">
        <v>488</v>
      </c>
    </row>
    <row r="220" spans="1:12" ht="15.75" x14ac:dyDescent="0.25">
      <c r="A220" t="s">
        <v>918</v>
      </c>
      <c r="B220" t="s">
        <v>739</v>
      </c>
      <c r="C220" t="s">
        <v>45</v>
      </c>
      <c r="D220" s="1" t="s">
        <v>488</v>
      </c>
      <c r="E220" t="s">
        <v>912</v>
      </c>
      <c r="F220" t="s">
        <v>447</v>
      </c>
      <c r="G220" s="1" t="s">
        <v>399</v>
      </c>
      <c r="I220" s="23">
        <v>7108078</v>
      </c>
      <c r="K220" s="1" t="s">
        <v>919</v>
      </c>
      <c r="L220" s="1" t="s">
        <v>488</v>
      </c>
    </row>
    <row r="221" spans="1:12" ht="15.75" x14ac:dyDescent="0.25">
      <c r="A221" t="s">
        <v>920</v>
      </c>
      <c r="B221" t="s">
        <v>739</v>
      </c>
      <c r="C221" t="s">
        <v>45</v>
      </c>
      <c r="D221" s="1" t="s">
        <v>488</v>
      </c>
      <c r="E221" t="s">
        <v>912</v>
      </c>
      <c r="F221" t="s">
        <v>447</v>
      </c>
      <c r="G221" s="1" t="s">
        <v>399</v>
      </c>
      <c r="I221" s="23">
        <v>7108079</v>
      </c>
      <c r="K221" s="1" t="s">
        <v>921</v>
      </c>
      <c r="L221" s="1" t="s">
        <v>488</v>
      </c>
    </row>
    <row r="222" spans="1:12" ht="15.75" x14ac:dyDescent="0.25">
      <c r="A222" t="s">
        <v>922</v>
      </c>
      <c r="B222" t="s">
        <v>739</v>
      </c>
      <c r="C222" t="s">
        <v>45</v>
      </c>
      <c r="D222" s="1" t="s">
        <v>488</v>
      </c>
      <c r="E222" t="s">
        <v>923</v>
      </c>
      <c r="F222" t="s">
        <v>447</v>
      </c>
      <c r="G222" s="1" t="s">
        <v>486</v>
      </c>
      <c r="I222" s="23">
        <v>7108080</v>
      </c>
      <c r="K222" s="1" t="s">
        <v>924</v>
      </c>
      <c r="L222" s="1" t="s">
        <v>488</v>
      </c>
    </row>
    <row r="223" spans="1:12" ht="15.75" x14ac:dyDescent="0.25">
      <c r="A223" t="s">
        <v>925</v>
      </c>
      <c r="B223" t="s">
        <v>739</v>
      </c>
      <c r="C223" t="s">
        <v>45</v>
      </c>
      <c r="D223" s="1" t="s">
        <v>488</v>
      </c>
      <c r="E223" t="s">
        <v>923</v>
      </c>
      <c r="F223" t="s">
        <v>447</v>
      </c>
      <c r="G223" s="1" t="s">
        <v>399</v>
      </c>
      <c r="I223" s="23">
        <v>7108081</v>
      </c>
      <c r="K223" s="1" t="s">
        <v>926</v>
      </c>
      <c r="L223" s="1" t="s">
        <v>488</v>
      </c>
    </row>
    <row r="224" spans="1:12" ht="45" x14ac:dyDescent="0.25">
      <c r="A224" t="s">
        <v>927</v>
      </c>
      <c r="B224" t="s">
        <v>739</v>
      </c>
      <c r="C224" t="s">
        <v>45</v>
      </c>
      <c r="D224" s="1" t="s">
        <v>488</v>
      </c>
      <c r="E224" t="s">
        <v>923</v>
      </c>
      <c r="F224" t="s">
        <v>447</v>
      </c>
      <c r="G224" s="1" t="s">
        <v>575</v>
      </c>
      <c r="I224" s="23">
        <v>7108082</v>
      </c>
      <c r="K224" s="1" t="s">
        <v>928</v>
      </c>
      <c r="L224" s="1" t="s">
        <v>488</v>
      </c>
    </row>
    <row r="225" spans="1:12" ht="15.75" x14ac:dyDescent="0.25">
      <c r="A225" t="s">
        <v>929</v>
      </c>
      <c r="B225" t="s">
        <v>739</v>
      </c>
      <c r="C225" t="s">
        <v>45</v>
      </c>
      <c r="D225" s="1" t="s">
        <v>488</v>
      </c>
      <c r="E225" t="s">
        <v>577</v>
      </c>
      <c r="F225" t="s">
        <v>447</v>
      </c>
      <c r="G225" s="1" t="s">
        <v>399</v>
      </c>
      <c r="I225" s="23">
        <v>7108083</v>
      </c>
      <c r="K225" s="1" t="s">
        <v>930</v>
      </c>
      <c r="L225" s="1" t="s">
        <v>488</v>
      </c>
    </row>
    <row r="226" spans="1:12" ht="15.75" x14ac:dyDescent="0.25">
      <c r="A226" t="s">
        <v>931</v>
      </c>
      <c r="B226" t="s">
        <v>739</v>
      </c>
      <c r="C226" t="s">
        <v>45</v>
      </c>
      <c r="D226" s="1" t="s">
        <v>488</v>
      </c>
      <c r="E226" t="s">
        <v>507</v>
      </c>
      <c r="F226" t="s">
        <v>447</v>
      </c>
      <c r="G226" s="1" t="s">
        <v>399</v>
      </c>
      <c r="I226" s="23">
        <v>7108084</v>
      </c>
      <c r="K226" s="1" t="s">
        <v>932</v>
      </c>
      <c r="L226" s="1" t="s">
        <v>488</v>
      </c>
    </row>
    <row r="227" spans="1:12" ht="30" x14ac:dyDescent="0.25">
      <c r="A227" t="s">
        <v>933</v>
      </c>
      <c r="B227" t="s">
        <v>739</v>
      </c>
      <c r="C227" t="s">
        <v>45</v>
      </c>
      <c r="D227" s="1" t="s">
        <v>492</v>
      </c>
      <c r="E227" t="s">
        <v>934</v>
      </c>
      <c r="F227" t="s">
        <v>449</v>
      </c>
      <c r="G227" s="1" t="s">
        <v>533</v>
      </c>
      <c r="I227" s="23">
        <v>7108085</v>
      </c>
      <c r="K227" s="1" t="s">
        <v>935</v>
      </c>
      <c r="L227" s="1" t="s">
        <v>492</v>
      </c>
    </row>
    <row r="228" spans="1:12" ht="30" x14ac:dyDescent="0.25">
      <c r="A228" t="s">
        <v>936</v>
      </c>
      <c r="B228" t="s">
        <v>739</v>
      </c>
      <c r="C228" t="s">
        <v>45</v>
      </c>
      <c r="D228" s="1" t="s">
        <v>492</v>
      </c>
      <c r="E228" t="s">
        <v>934</v>
      </c>
      <c r="F228" t="s">
        <v>449</v>
      </c>
      <c r="G228" s="1" t="s">
        <v>533</v>
      </c>
      <c r="I228" s="23">
        <v>7108086</v>
      </c>
      <c r="K228" s="1" t="s">
        <v>937</v>
      </c>
      <c r="L228" s="1" t="s">
        <v>492</v>
      </c>
    </row>
    <row r="229" spans="1:12" ht="45" x14ac:dyDescent="0.25">
      <c r="A229" t="s">
        <v>938</v>
      </c>
      <c r="B229" t="s">
        <v>739</v>
      </c>
      <c r="C229" t="s">
        <v>45</v>
      </c>
      <c r="D229" s="1" t="s">
        <v>492</v>
      </c>
      <c r="E229" t="s">
        <v>939</v>
      </c>
      <c r="F229" t="s">
        <v>449</v>
      </c>
      <c r="G229" s="1" t="s">
        <v>310</v>
      </c>
      <c r="I229" s="23">
        <v>7108087</v>
      </c>
      <c r="K229" s="1" t="s">
        <v>940</v>
      </c>
      <c r="L229" s="1" t="s">
        <v>492</v>
      </c>
    </row>
    <row r="230" spans="1:12" ht="45" x14ac:dyDescent="0.25">
      <c r="A230" t="s">
        <v>941</v>
      </c>
      <c r="B230" t="s">
        <v>739</v>
      </c>
      <c r="C230" t="s">
        <v>45</v>
      </c>
      <c r="D230" s="1" t="s">
        <v>492</v>
      </c>
      <c r="E230" t="s">
        <v>939</v>
      </c>
      <c r="F230" t="s">
        <v>449</v>
      </c>
      <c r="G230" s="1" t="s">
        <v>310</v>
      </c>
      <c r="I230" s="23">
        <v>7108088</v>
      </c>
      <c r="K230" s="1" t="s">
        <v>942</v>
      </c>
      <c r="L230" s="1" t="s">
        <v>492</v>
      </c>
    </row>
    <row r="231" spans="1:12" ht="15.75" x14ac:dyDescent="0.25">
      <c r="A231" t="s">
        <v>943</v>
      </c>
      <c r="B231" t="s">
        <v>739</v>
      </c>
      <c r="C231" t="s">
        <v>45</v>
      </c>
      <c r="D231" s="1" t="s">
        <v>492</v>
      </c>
      <c r="E231" t="s">
        <v>493</v>
      </c>
      <c r="F231" t="s">
        <v>449</v>
      </c>
      <c r="G231" s="1" t="s">
        <v>494</v>
      </c>
      <c r="I231" s="23">
        <v>7108089</v>
      </c>
      <c r="K231" s="1" t="s">
        <v>944</v>
      </c>
      <c r="L231" s="1" t="s">
        <v>492</v>
      </c>
    </row>
    <row r="232" spans="1:12" ht="15.75" x14ac:dyDescent="0.25">
      <c r="A232" t="s">
        <v>945</v>
      </c>
      <c r="B232" t="s">
        <v>739</v>
      </c>
      <c r="C232" t="s">
        <v>45</v>
      </c>
      <c r="D232" s="1" t="s">
        <v>492</v>
      </c>
      <c r="E232" t="s">
        <v>516</v>
      </c>
      <c r="F232" t="s">
        <v>449</v>
      </c>
      <c r="G232" s="1" t="s">
        <v>494</v>
      </c>
      <c r="I232" s="23">
        <v>7108090</v>
      </c>
      <c r="K232" s="1" t="s">
        <v>946</v>
      </c>
      <c r="L232" s="1" t="s">
        <v>492</v>
      </c>
    </row>
    <row r="233" spans="1:12" ht="15.75" x14ac:dyDescent="0.25">
      <c r="A233" t="s">
        <v>947</v>
      </c>
      <c r="B233" t="s">
        <v>739</v>
      </c>
      <c r="C233" t="s">
        <v>45</v>
      </c>
      <c r="D233" s="1" t="s">
        <v>492</v>
      </c>
      <c r="E233" t="s">
        <v>516</v>
      </c>
      <c r="F233" t="s">
        <v>449</v>
      </c>
      <c r="G233" s="1" t="s">
        <v>494</v>
      </c>
      <c r="I233" s="23">
        <v>7108091</v>
      </c>
      <c r="K233" s="1" t="s">
        <v>948</v>
      </c>
      <c r="L233" s="1" t="s">
        <v>492</v>
      </c>
    </row>
    <row r="234" spans="1:12" ht="15.75" x14ac:dyDescent="0.25">
      <c r="A234" t="s">
        <v>949</v>
      </c>
      <c r="B234" t="s">
        <v>739</v>
      </c>
      <c r="C234" t="s">
        <v>45</v>
      </c>
      <c r="D234" s="1" t="s">
        <v>492</v>
      </c>
      <c r="E234" t="s">
        <v>615</v>
      </c>
      <c r="F234" t="s">
        <v>449</v>
      </c>
      <c r="G234" s="1" t="s">
        <v>494</v>
      </c>
      <c r="I234" s="23">
        <v>7108092</v>
      </c>
      <c r="K234" s="1" t="s">
        <v>950</v>
      </c>
      <c r="L234" s="1" t="s">
        <v>492</v>
      </c>
    </row>
    <row r="235" spans="1:12" ht="15.75" x14ac:dyDescent="0.25">
      <c r="A235" t="s">
        <v>951</v>
      </c>
      <c r="B235" t="s">
        <v>739</v>
      </c>
      <c r="C235" t="s">
        <v>45</v>
      </c>
      <c r="D235" s="1" t="s">
        <v>492</v>
      </c>
      <c r="E235" t="s">
        <v>952</v>
      </c>
      <c r="F235" t="s">
        <v>449</v>
      </c>
      <c r="G235" s="1" t="s">
        <v>494</v>
      </c>
      <c r="I235" s="23">
        <v>7108093</v>
      </c>
      <c r="K235" s="1" t="s">
        <v>953</v>
      </c>
      <c r="L235" s="1" t="s">
        <v>492</v>
      </c>
    </row>
    <row r="236" spans="1:12" ht="15.75" x14ac:dyDescent="0.25">
      <c r="A236" t="s">
        <v>954</v>
      </c>
      <c r="B236" t="s">
        <v>739</v>
      </c>
      <c r="C236" t="s">
        <v>45</v>
      </c>
      <c r="D236" s="1" t="s">
        <v>492</v>
      </c>
      <c r="E236" t="s">
        <v>564</v>
      </c>
      <c r="F236" t="s">
        <v>449</v>
      </c>
      <c r="G236" s="1" t="s">
        <v>494</v>
      </c>
      <c r="I236" s="23">
        <v>7108094</v>
      </c>
      <c r="K236" s="1" t="s">
        <v>955</v>
      </c>
      <c r="L236" s="1" t="s">
        <v>492</v>
      </c>
    </row>
    <row r="237" spans="1:12" ht="15.75" x14ac:dyDescent="0.25">
      <c r="A237" t="s">
        <v>956</v>
      </c>
      <c r="B237" t="s">
        <v>739</v>
      </c>
      <c r="C237" t="s">
        <v>45</v>
      </c>
      <c r="D237" s="1" t="s">
        <v>492</v>
      </c>
      <c r="E237" t="s">
        <v>564</v>
      </c>
      <c r="F237" t="s">
        <v>449</v>
      </c>
      <c r="G237" s="1" t="s">
        <v>494</v>
      </c>
      <c r="I237" s="23">
        <v>7108095</v>
      </c>
      <c r="K237" s="1" t="s">
        <v>957</v>
      </c>
      <c r="L237" s="1" t="s">
        <v>492</v>
      </c>
    </row>
    <row r="238" spans="1:12" ht="15.75" x14ac:dyDescent="0.25">
      <c r="A238" t="s">
        <v>958</v>
      </c>
      <c r="B238" t="s">
        <v>739</v>
      </c>
      <c r="C238" t="s">
        <v>45</v>
      </c>
      <c r="D238" s="1" t="s">
        <v>492</v>
      </c>
      <c r="E238" t="s">
        <v>959</v>
      </c>
      <c r="F238" t="s">
        <v>449</v>
      </c>
      <c r="G238" s="1" t="s">
        <v>494</v>
      </c>
      <c r="I238" s="23">
        <v>7108096</v>
      </c>
      <c r="K238" s="1" t="s">
        <v>960</v>
      </c>
      <c r="L238" s="1" t="s">
        <v>492</v>
      </c>
    </row>
    <row r="239" spans="1:12" ht="15.75" x14ac:dyDescent="0.25">
      <c r="A239" t="s">
        <v>961</v>
      </c>
      <c r="B239" t="s">
        <v>739</v>
      </c>
      <c r="C239" t="s">
        <v>45</v>
      </c>
      <c r="D239" s="1" t="s">
        <v>492</v>
      </c>
      <c r="E239" t="s">
        <v>592</v>
      </c>
      <c r="F239" t="s">
        <v>449</v>
      </c>
      <c r="G239" s="1" t="s">
        <v>494</v>
      </c>
      <c r="I239" s="23">
        <v>7108097</v>
      </c>
      <c r="K239" s="1" t="s">
        <v>962</v>
      </c>
      <c r="L239" s="1" t="s">
        <v>492</v>
      </c>
    </row>
    <row r="240" spans="1:12" ht="15.75" x14ac:dyDescent="0.25">
      <c r="A240" t="s">
        <v>963</v>
      </c>
      <c r="B240" t="s">
        <v>739</v>
      </c>
      <c r="C240" t="s">
        <v>45</v>
      </c>
      <c r="D240" s="1" t="s">
        <v>492</v>
      </c>
      <c r="E240" t="s">
        <v>532</v>
      </c>
      <c r="F240" t="s">
        <v>449</v>
      </c>
      <c r="G240" s="1" t="s">
        <v>494</v>
      </c>
      <c r="I240" s="23">
        <v>7108098</v>
      </c>
      <c r="K240" s="1" t="s">
        <v>964</v>
      </c>
      <c r="L240" s="1" t="s">
        <v>492</v>
      </c>
    </row>
    <row r="241" spans="1:12" ht="15.75" x14ac:dyDescent="0.25">
      <c r="A241" t="s">
        <v>965</v>
      </c>
      <c r="B241" t="s">
        <v>739</v>
      </c>
      <c r="C241" t="s">
        <v>45</v>
      </c>
      <c r="D241" s="1" t="s">
        <v>492</v>
      </c>
      <c r="E241" t="s">
        <v>966</v>
      </c>
      <c r="F241" t="s">
        <v>449</v>
      </c>
      <c r="G241" s="1" t="s">
        <v>494</v>
      </c>
      <c r="I241" s="23">
        <v>7108099</v>
      </c>
      <c r="K241" s="1" t="s">
        <v>967</v>
      </c>
      <c r="L241" s="1" t="s">
        <v>492</v>
      </c>
    </row>
    <row r="242" spans="1:12" ht="15.75" x14ac:dyDescent="0.25">
      <c r="A242" t="s">
        <v>968</v>
      </c>
      <c r="B242" t="s">
        <v>739</v>
      </c>
      <c r="C242" t="s">
        <v>45</v>
      </c>
      <c r="D242" s="1" t="s">
        <v>492</v>
      </c>
      <c r="E242" t="s">
        <v>969</v>
      </c>
      <c r="F242" t="s">
        <v>449</v>
      </c>
      <c r="G242" s="1" t="s">
        <v>494</v>
      </c>
      <c r="I242" s="23">
        <v>7108100</v>
      </c>
      <c r="K242" s="1" t="s">
        <v>970</v>
      </c>
      <c r="L242" s="1" t="s">
        <v>492</v>
      </c>
    </row>
    <row r="243" spans="1:12" ht="15.75" x14ac:dyDescent="0.25">
      <c r="A243" t="s">
        <v>971</v>
      </c>
      <c r="B243" t="s">
        <v>739</v>
      </c>
      <c r="C243" t="s">
        <v>45</v>
      </c>
      <c r="D243" s="1" t="s">
        <v>492</v>
      </c>
      <c r="E243" t="s">
        <v>969</v>
      </c>
      <c r="F243" t="s">
        <v>449</v>
      </c>
      <c r="G243" s="1" t="s">
        <v>494</v>
      </c>
      <c r="I243" s="23">
        <v>7108101</v>
      </c>
      <c r="K243" s="1" t="s">
        <v>972</v>
      </c>
      <c r="L243" s="1" t="s">
        <v>492</v>
      </c>
    </row>
    <row r="244" spans="1:12" ht="45" x14ac:dyDescent="0.25">
      <c r="A244" t="s">
        <v>973</v>
      </c>
      <c r="B244" t="s">
        <v>739</v>
      </c>
      <c r="C244" t="s">
        <v>45</v>
      </c>
      <c r="D244" s="1" t="s">
        <v>492</v>
      </c>
      <c r="E244" t="s">
        <v>574</v>
      </c>
      <c r="F244" t="s">
        <v>449</v>
      </c>
      <c r="G244" s="1" t="s">
        <v>575</v>
      </c>
      <c r="I244" s="23">
        <v>7108102</v>
      </c>
      <c r="K244" s="1" t="s">
        <v>974</v>
      </c>
      <c r="L244" s="1" t="s">
        <v>492</v>
      </c>
    </row>
    <row r="245" spans="1:12" ht="15.75" x14ac:dyDescent="0.25">
      <c r="A245" t="s">
        <v>975</v>
      </c>
      <c r="B245" t="s">
        <v>739</v>
      </c>
      <c r="C245" t="s">
        <v>45</v>
      </c>
      <c r="D245" s="1" t="s">
        <v>492</v>
      </c>
      <c r="E245" t="s">
        <v>976</v>
      </c>
      <c r="F245" t="s">
        <v>449</v>
      </c>
      <c r="G245" s="1" t="s">
        <v>494</v>
      </c>
      <c r="I245" s="23">
        <v>7108103</v>
      </c>
      <c r="K245" s="1" t="s">
        <v>977</v>
      </c>
      <c r="L245" s="1" t="s">
        <v>492</v>
      </c>
    </row>
    <row r="246" spans="1:12" ht="15.75" x14ac:dyDescent="0.25">
      <c r="A246" t="s">
        <v>978</v>
      </c>
      <c r="B246" t="s">
        <v>739</v>
      </c>
      <c r="C246" t="s">
        <v>45</v>
      </c>
      <c r="D246" s="1" t="s">
        <v>535</v>
      </c>
      <c r="E246" t="s">
        <v>668</v>
      </c>
      <c r="F246" t="s">
        <v>449</v>
      </c>
      <c r="G246" s="1" t="s">
        <v>494</v>
      </c>
      <c r="I246" s="23">
        <v>7108104</v>
      </c>
      <c r="K246" s="1" t="s">
        <v>979</v>
      </c>
      <c r="L246" s="1" t="s">
        <v>535</v>
      </c>
    </row>
    <row r="247" spans="1:12" ht="15.75" x14ac:dyDescent="0.25">
      <c r="A247" t="s">
        <v>980</v>
      </c>
      <c r="B247" t="s">
        <v>739</v>
      </c>
      <c r="C247" t="s">
        <v>45</v>
      </c>
      <c r="D247" s="1" t="s">
        <v>535</v>
      </c>
      <c r="E247" t="s">
        <v>981</v>
      </c>
      <c r="F247" t="s">
        <v>449</v>
      </c>
      <c r="G247" s="1" t="s">
        <v>494</v>
      </c>
      <c r="I247" s="23">
        <v>7108105</v>
      </c>
      <c r="K247" s="1" t="s">
        <v>982</v>
      </c>
      <c r="L247" s="1" t="s">
        <v>535</v>
      </c>
    </row>
    <row r="248" spans="1:12" ht="15.75" x14ac:dyDescent="0.25">
      <c r="A248" t="s">
        <v>983</v>
      </c>
      <c r="B248" t="s">
        <v>739</v>
      </c>
      <c r="C248" t="s">
        <v>45</v>
      </c>
      <c r="D248" s="1" t="s">
        <v>535</v>
      </c>
      <c r="E248" t="s">
        <v>984</v>
      </c>
      <c r="F248" t="s">
        <v>449</v>
      </c>
      <c r="G248" s="1" t="s">
        <v>494</v>
      </c>
      <c r="I248" s="23">
        <v>7108106</v>
      </c>
      <c r="K248" s="1" t="s">
        <v>985</v>
      </c>
      <c r="L248" s="1" t="s">
        <v>535</v>
      </c>
    </row>
    <row r="249" spans="1:12" ht="15.75" x14ac:dyDescent="0.25">
      <c r="A249" t="s">
        <v>986</v>
      </c>
      <c r="B249" t="s">
        <v>739</v>
      </c>
      <c r="C249" t="s">
        <v>45</v>
      </c>
      <c r="D249" s="1" t="s">
        <v>535</v>
      </c>
      <c r="E249" t="s">
        <v>665</v>
      </c>
      <c r="F249" t="s">
        <v>449</v>
      </c>
      <c r="G249" s="1" t="s">
        <v>494</v>
      </c>
      <c r="I249" s="23">
        <v>7108107</v>
      </c>
      <c r="K249" s="1" t="s">
        <v>987</v>
      </c>
      <c r="L249" s="1" t="s">
        <v>535</v>
      </c>
    </row>
    <row r="250" spans="1:12" ht="15.75" x14ac:dyDescent="0.25">
      <c r="A250" t="s">
        <v>988</v>
      </c>
      <c r="B250" t="s">
        <v>739</v>
      </c>
      <c r="C250" t="s">
        <v>45</v>
      </c>
      <c r="D250" s="1" t="s">
        <v>535</v>
      </c>
      <c r="E250" t="s">
        <v>665</v>
      </c>
      <c r="F250" t="s">
        <v>449</v>
      </c>
      <c r="G250" s="1" t="s">
        <v>494</v>
      </c>
      <c r="I250" s="23">
        <v>7108108</v>
      </c>
      <c r="K250" s="1" t="s">
        <v>989</v>
      </c>
      <c r="L250" s="1" t="s">
        <v>535</v>
      </c>
    </row>
    <row r="251" spans="1:12" ht="15.75" x14ac:dyDescent="0.25">
      <c r="A251" t="s">
        <v>990</v>
      </c>
      <c r="B251" t="s">
        <v>739</v>
      </c>
      <c r="C251" t="s">
        <v>45</v>
      </c>
      <c r="D251" s="1" t="s">
        <v>535</v>
      </c>
      <c r="E251" t="s">
        <v>991</v>
      </c>
      <c r="F251" t="s">
        <v>449</v>
      </c>
      <c r="G251" s="1" t="s">
        <v>494</v>
      </c>
      <c r="I251" s="23">
        <v>7108109</v>
      </c>
      <c r="K251" s="1" t="s">
        <v>992</v>
      </c>
      <c r="L251" s="1" t="s">
        <v>535</v>
      </c>
    </row>
    <row r="252" spans="1:12" ht="15.75" x14ac:dyDescent="0.25">
      <c r="A252" t="s">
        <v>993</v>
      </c>
      <c r="B252" t="s">
        <v>739</v>
      </c>
      <c r="C252" t="s">
        <v>45</v>
      </c>
      <c r="D252" s="1" t="s">
        <v>535</v>
      </c>
      <c r="E252" t="s">
        <v>579</v>
      </c>
      <c r="F252" t="s">
        <v>449</v>
      </c>
      <c r="G252" s="1" t="s">
        <v>494</v>
      </c>
      <c r="I252" s="23">
        <v>7108110</v>
      </c>
      <c r="K252" s="1" t="s">
        <v>994</v>
      </c>
      <c r="L252" s="1" t="s">
        <v>535</v>
      </c>
    </row>
    <row r="253" spans="1:12" ht="15.75" x14ac:dyDescent="0.25">
      <c r="A253" t="s">
        <v>995</v>
      </c>
      <c r="B253" t="s">
        <v>739</v>
      </c>
      <c r="C253" t="s">
        <v>45</v>
      </c>
      <c r="D253" s="1" t="s">
        <v>535</v>
      </c>
      <c r="E253" t="s">
        <v>579</v>
      </c>
      <c r="F253" t="s">
        <v>449</v>
      </c>
      <c r="G253" s="1" t="s">
        <v>494</v>
      </c>
      <c r="I253" s="23">
        <v>7108111</v>
      </c>
      <c r="K253" s="1" t="s">
        <v>996</v>
      </c>
      <c r="L253" s="1" t="s">
        <v>535</v>
      </c>
    </row>
    <row r="254" spans="1:12" ht="15.75" x14ac:dyDescent="0.25">
      <c r="A254" t="s">
        <v>997</v>
      </c>
      <c r="B254" t="s">
        <v>739</v>
      </c>
      <c r="C254" t="s">
        <v>45</v>
      </c>
      <c r="D254" s="1" t="s">
        <v>535</v>
      </c>
      <c r="E254" t="s">
        <v>998</v>
      </c>
      <c r="F254" t="s">
        <v>449</v>
      </c>
      <c r="G254" s="1" t="s">
        <v>494</v>
      </c>
      <c r="I254" s="23">
        <v>7108112</v>
      </c>
      <c r="K254" s="1" t="s">
        <v>999</v>
      </c>
      <c r="L254" s="1" t="s">
        <v>535</v>
      </c>
    </row>
    <row r="255" spans="1:12" ht="15.75" x14ac:dyDescent="0.25">
      <c r="A255" t="s">
        <v>1000</v>
      </c>
      <c r="B255" t="s">
        <v>739</v>
      </c>
      <c r="C255" t="s">
        <v>45</v>
      </c>
      <c r="D255" s="1" t="s">
        <v>428</v>
      </c>
      <c r="E255" t="s">
        <v>1001</v>
      </c>
      <c r="F255" t="s">
        <v>449</v>
      </c>
      <c r="G255" s="1" t="s">
        <v>494</v>
      </c>
      <c r="I255" s="23">
        <v>7108113</v>
      </c>
      <c r="K255" s="1" t="s">
        <v>1002</v>
      </c>
      <c r="L255" s="1" t="s">
        <v>428</v>
      </c>
    </row>
    <row r="256" spans="1:12" ht="15.75" x14ac:dyDescent="0.25">
      <c r="A256" t="s">
        <v>1003</v>
      </c>
      <c r="B256" t="s">
        <v>739</v>
      </c>
      <c r="C256" t="s">
        <v>45</v>
      </c>
      <c r="D256" s="1" t="s">
        <v>428</v>
      </c>
      <c r="E256" t="s">
        <v>505</v>
      </c>
      <c r="F256" t="s">
        <v>449</v>
      </c>
      <c r="G256" s="1" t="s">
        <v>494</v>
      </c>
      <c r="I256" s="23">
        <v>7108114</v>
      </c>
      <c r="K256" s="1" t="s">
        <v>1004</v>
      </c>
      <c r="L256" s="1" t="s">
        <v>428</v>
      </c>
    </row>
    <row r="257" spans="1:12" ht="15.75" x14ac:dyDescent="0.25">
      <c r="A257" t="s">
        <v>1005</v>
      </c>
      <c r="B257" t="s">
        <v>739</v>
      </c>
      <c r="C257" t="s">
        <v>45</v>
      </c>
      <c r="D257" s="1" t="s">
        <v>428</v>
      </c>
      <c r="E257" t="s">
        <v>1006</v>
      </c>
      <c r="F257" t="s">
        <v>449</v>
      </c>
      <c r="G257" s="1" t="s">
        <v>494</v>
      </c>
      <c r="I257" s="23">
        <v>7108115</v>
      </c>
      <c r="K257" s="1" t="s">
        <v>1007</v>
      </c>
      <c r="L257" s="1" t="s">
        <v>428</v>
      </c>
    </row>
    <row r="258" spans="1:12" ht="15.75" x14ac:dyDescent="0.25">
      <c r="A258" t="s">
        <v>1008</v>
      </c>
      <c r="B258" t="s">
        <v>739</v>
      </c>
      <c r="C258" t="s">
        <v>45</v>
      </c>
      <c r="D258" s="1" t="s">
        <v>428</v>
      </c>
      <c r="E258" t="s">
        <v>1009</v>
      </c>
      <c r="F258" t="s">
        <v>449</v>
      </c>
      <c r="G258" s="1" t="s">
        <v>408</v>
      </c>
      <c r="I258" s="23">
        <v>7108116</v>
      </c>
      <c r="K258" s="1" t="s">
        <v>1010</v>
      </c>
      <c r="L258" s="1" t="s">
        <v>428</v>
      </c>
    </row>
    <row r="259" spans="1:12" ht="15.75" x14ac:dyDescent="0.25">
      <c r="A259" t="s">
        <v>1011</v>
      </c>
      <c r="B259" t="s">
        <v>739</v>
      </c>
      <c r="C259" t="s">
        <v>45</v>
      </c>
      <c r="D259" s="1" t="s">
        <v>428</v>
      </c>
      <c r="E259" t="s">
        <v>632</v>
      </c>
      <c r="F259" t="s">
        <v>449</v>
      </c>
      <c r="G259" s="1" t="s">
        <v>494</v>
      </c>
      <c r="I259" s="23">
        <v>7108117</v>
      </c>
      <c r="K259" s="1" t="s">
        <v>1012</v>
      </c>
      <c r="L259" s="1" t="s">
        <v>428</v>
      </c>
    </row>
    <row r="260" spans="1:12" ht="15.75" x14ac:dyDescent="0.25">
      <c r="A260" t="s">
        <v>1013</v>
      </c>
      <c r="B260" t="s">
        <v>739</v>
      </c>
      <c r="C260" t="s">
        <v>45</v>
      </c>
      <c r="D260" s="1" t="s">
        <v>428</v>
      </c>
      <c r="E260" t="s">
        <v>691</v>
      </c>
      <c r="F260" t="s">
        <v>449</v>
      </c>
      <c r="G260" s="1" t="s">
        <v>494</v>
      </c>
      <c r="I260" s="23">
        <v>7108118</v>
      </c>
      <c r="K260" s="1" t="s">
        <v>1014</v>
      </c>
      <c r="L260" s="1" t="s">
        <v>428</v>
      </c>
    </row>
    <row r="261" spans="1:12" ht="15.75" x14ac:dyDescent="0.25">
      <c r="A261" t="s">
        <v>1015</v>
      </c>
      <c r="B261" t="s">
        <v>739</v>
      </c>
      <c r="C261" t="s">
        <v>45</v>
      </c>
      <c r="D261" s="1" t="s">
        <v>428</v>
      </c>
      <c r="E261" t="s">
        <v>691</v>
      </c>
      <c r="F261" t="s">
        <v>449</v>
      </c>
      <c r="G261" s="1" t="s">
        <v>494</v>
      </c>
      <c r="I261" s="23">
        <v>7108119</v>
      </c>
      <c r="K261" s="1" t="s">
        <v>1016</v>
      </c>
      <c r="L261" s="1" t="s">
        <v>428</v>
      </c>
    </row>
    <row r="262" spans="1:12" ht="15.75" x14ac:dyDescent="0.25">
      <c r="A262" t="s">
        <v>1017</v>
      </c>
      <c r="B262" t="s">
        <v>739</v>
      </c>
      <c r="C262" t="s">
        <v>45</v>
      </c>
      <c r="D262" s="1" t="s">
        <v>428</v>
      </c>
      <c r="E262" t="s">
        <v>1018</v>
      </c>
      <c r="F262" t="s">
        <v>449</v>
      </c>
      <c r="G262" s="1" t="s">
        <v>408</v>
      </c>
      <c r="I262" s="23">
        <v>7108120</v>
      </c>
      <c r="K262" s="1" t="s">
        <v>1019</v>
      </c>
      <c r="L262" s="1" t="s">
        <v>428</v>
      </c>
    </row>
    <row r="263" spans="1:12" ht="15.75" x14ac:dyDescent="0.25">
      <c r="A263" t="s">
        <v>1020</v>
      </c>
      <c r="B263" t="s">
        <v>739</v>
      </c>
      <c r="C263" t="s">
        <v>45</v>
      </c>
      <c r="D263" s="1" t="s">
        <v>428</v>
      </c>
      <c r="E263" t="s">
        <v>1021</v>
      </c>
      <c r="F263" t="s">
        <v>449</v>
      </c>
      <c r="G263" s="1" t="s">
        <v>494</v>
      </c>
      <c r="I263" s="23">
        <v>7108121</v>
      </c>
      <c r="K263" s="1" t="s">
        <v>1022</v>
      </c>
      <c r="L263" s="1" t="s">
        <v>428</v>
      </c>
    </row>
    <row r="264" spans="1:12" ht="15.75" x14ac:dyDescent="0.25">
      <c r="A264" t="s">
        <v>1023</v>
      </c>
      <c r="B264" t="s">
        <v>739</v>
      </c>
      <c r="C264" t="s">
        <v>45</v>
      </c>
      <c r="D264" s="1" t="s">
        <v>428</v>
      </c>
      <c r="E264" t="s">
        <v>1024</v>
      </c>
      <c r="F264" t="s">
        <v>449</v>
      </c>
      <c r="G264" s="1" t="s">
        <v>494</v>
      </c>
      <c r="I264" s="23">
        <v>7108122</v>
      </c>
      <c r="K264" s="1" t="s">
        <v>1025</v>
      </c>
      <c r="L264" s="1" t="s">
        <v>428</v>
      </c>
    </row>
    <row r="265" spans="1:12" ht="15.75" x14ac:dyDescent="0.25">
      <c r="A265" t="s">
        <v>1026</v>
      </c>
      <c r="B265" t="s">
        <v>739</v>
      </c>
      <c r="C265" t="s">
        <v>45</v>
      </c>
      <c r="D265" s="1" t="s">
        <v>428</v>
      </c>
      <c r="E265" t="s">
        <v>529</v>
      </c>
      <c r="F265" t="s">
        <v>449</v>
      </c>
      <c r="G265" s="1" t="s">
        <v>494</v>
      </c>
      <c r="I265" s="23">
        <v>7108123</v>
      </c>
      <c r="K265" s="1" t="s">
        <v>1027</v>
      </c>
      <c r="L265" s="1" t="s">
        <v>428</v>
      </c>
    </row>
    <row r="266" spans="1:12" ht="15.75" x14ac:dyDescent="0.25">
      <c r="A266" t="s">
        <v>1028</v>
      </c>
      <c r="B266" t="s">
        <v>739</v>
      </c>
      <c r="C266" t="s">
        <v>45</v>
      </c>
      <c r="D266" s="1" t="s">
        <v>428</v>
      </c>
      <c r="E266" t="s">
        <v>529</v>
      </c>
      <c r="F266" t="s">
        <v>449</v>
      </c>
      <c r="G266" s="1" t="s">
        <v>494</v>
      </c>
      <c r="I266" s="23">
        <v>7108124</v>
      </c>
      <c r="K266" s="1" t="s">
        <v>1029</v>
      </c>
      <c r="L266" s="1" t="s">
        <v>428</v>
      </c>
    </row>
    <row r="267" spans="1:12" ht="15.75" x14ac:dyDescent="0.25">
      <c r="A267" t="s">
        <v>1030</v>
      </c>
      <c r="B267" t="s">
        <v>739</v>
      </c>
      <c r="C267" t="s">
        <v>45</v>
      </c>
      <c r="D267" s="1" t="s">
        <v>428</v>
      </c>
      <c r="E267" t="s">
        <v>1031</v>
      </c>
      <c r="F267" t="s">
        <v>449</v>
      </c>
      <c r="G267" s="1" t="s">
        <v>494</v>
      </c>
      <c r="I267" s="23">
        <v>7108125</v>
      </c>
      <c r="K267" s="1" t="s">
        <v>1032</v>
      </c>
      <c r="L267" s="1" t="s">
        <v>428</v>
      </c>
    </row>
    <row r="268" spans="1:12" ht="15.75" x14ac:dyDescent="0.25">
      <c r="A268" t="s">
        <v>1033</v>
      </c>
      <c r="B268" t="s">
        <v>739</v>
      </c>
      <c r="C268" t="s">
        <v>45</v>
      </c>
      <c r="D268" s="1" t="s">
        <v>428</v>
      </c>
      <c r="E268" t="s">
        <v>1034</v>
      </c>
      <c r="F268" t="s">
        <v>449</v>
      </c>
      <c r="G268" s="1" t="s">
        <v>494</v>
      </c>
      <c r="I268" s="23">
        <v>7108126</v>
      </c>
      <c r="K268" s="1" t="s">
        <v>1035</v>
      </c>
      <c r="L268" s="1" t="s">
        <v>428</v>
      </c>
    </row>
    <row r="269" spans="1:12" ht="15.75" x14ac:dyDescent="0.25">
      <c r="A269" t="s">
        <v>1036</v>
      </c>
      <c r="B269" t="s">
        <v>739</v>
      </c>
      <c r="C269" t="s">
        <v>45</v>
      </c>
      <c r="D269" s="1" t="s">
        <v>428</v>
      </c>
      <c r="E269" t="s">
        <v>1034</v>
      </c>
      <c r="F269" t="s">
        <v>449</v>
      </c>
      <c r="G269" s="1" t="s">
        <v>494</v>
      </c>
      <c r="I269" s="23">
        <v>7108127</v>
      </c>
      <c r="K269" s="1" t="s">
        <v>1037</v>
      </c>
      <c r="L269" s="1" t="s">
        <v>428</v>
      </c>
    </row>
    <row r="270" spans="1:12" ht="15.75" x14ac:dyDescent="0.25">
      <c r="A270" t="s">
        <v>1038</v>
      </c>
      <c r="B270" t="s">
        <v>739</v>
      </c>
      <c r="C270" t="s">
        <v>45</v>
      </c>
      <c r="D270" s="1" t="s">
        <v>428</v>
      </c>
      <c r="E270" t="s">
        <v>1034</v>
      </c>
      <c r="F270" t="s">
        <v>449</v>
      </c>
      <c r="G270" s="1" t="s">
        <v>494</v>
      </c>
      <c r="I270" s="23">
        <v>7108128</v>
      </c>
      <c r="K270" s="1" t="s">
        <v>1039</v>
      </c>
      <c r="L270" s="1" t="s">
        <v>428</v>
      </c>
    </row>
    <row r="271" spans="1:12" ht="15.75" x14ac:dyDescent="0.25">
      <c r="A271" t="s">
        <v>1040</v>
      </c>
      <c r="B271" t="s">
        <v>739</v>
      </c>
      <c r="C271" t="s">
        <v>45</v>
      </c>
      <c r="D271" s="1" t="s">
        <v>428</v>
      </c>
      <c r="E271" t="s">
        <v>1034</v>
      </c>
      <c r="F271" t="s">
        <v>449</v>
      </c>
      <c r="G271" s="1" t="s">
        <v>494</v>
      </c>
      <c r="I271" s="23">
        <v>7108129</v>
      </c>
      <c r="K271" s="1" t="s">
        <v>1041</v>
      </c>
      <c r="L271" s="1" t="s">
        <v>428</v>
      </c>
    </row>
    <row r="272" spans="1:12" ht="15.75" x14ac:dyDescent="0.25">
      <c r="A272" t="s">
        <v>1042</v>
      </c>
      <c r="B272" t="s">
        <v>739</v>
      </c>
      <c r="C272" t="s">
        <v>45</v>
      </c>
      <c r="D272" s="1" t="s">
        <v>428</v>
      </c>
      <c r="E272" t="s">
        <v>1034</v>
      </c>
      <c r="F272" t="s">
        <v>449</v>
      </c>
      <c r="G272" s="1" t="s">
        <v>494</v>
      </c>
      <c r="I272" s="23">
        <v>7108130</v>
      </c>
      <c r="K272" s="1" t="s">
        <v>1043</v>
      </c>
      <c r="L272" s="1" t="s">
        <v>428</v>
      </c>
    </row>
    <row r="273" spans="1:12" ht="15.75" x14ac:dyDescent="0.25">
      <c r="A273" t="s">
        <v>1044</v>
      </c>
      <c r="B273" t="s">
        <v>739</v>
      </c>
      <c r="C273" t="s">
        <v>45</v>
      </c>
      <c r="D273" s="1" t="s">
        <v>428</v>
      </c>
      <c r="E273" t="s">
        <v>1034</v>
      </c>
      <c r="F273" t="s">
        <v>449</v>
      </c>
      <c r="G273" s="1" t="s">
        <v>494</v>
      </c>
      <c r="I273" s="23">
        <v>7108131</v>
      </c>
      <c r="K273" s="1" t="s">
        <v>1045</v>
      </c>
      <c r="L273" s="1" t="s">
        <v>428</v>
      </c>
    </row>
    <row r="274" spans="1:12" ht="15.75" x14ac:dyDescent="0.25">
      <c r="A274" t="s">
        <v>1046</v>
      </c>
      <c r="B274" t="s">
        <v>739</v>
      </c>
      <c r="C274" t="s">
        <v>45</v>
      </c>
      <c r="D274" s="1" t="s">
        <v>428</v>
      </c>
      <c r="E274" t="s">
        <v>1034</v>
      </c>
      <c r="F274" t="s">
        <v>449</v>
      </c>
      <c r="G274" s="1" t="s">
        <v>494</v>
      </c>
      <c r="I274" s="23">
        <v>7108132</v>
      </c>
      <c r="K274" s="1" t="s">
        <v>1047</v>
      </c>
      <c r="L274" s="1" t="s">
        <v>428</v>
      </c>
    </row>
    <row r="275" spans="1:12" ht="15.75" x14ac:dyDescent="0.25">
      <c r="A275" t="s">
        <v>1048</v>
      </c>
      <c r="B275" t="s">
        <v>739</v>
      </c>
      <c r="C275" t="s">
        <v>45</v>
      </c>
      <c r="D275" s="1" t="s">
        <v>428</v>
      </c>
      <c r="E275" t="s">
        <v>1034</v>
      </c>
      <c r="F275" t="s">
        <v>449</v>
      </c>
      <c r="G275" s="1" t="s">
        <v>494</v>
      </c>
      <c r="I275" s="23">
        <v>7108133</v>
      </c>
      <c r="K275" s="1" t="s">
        <v>1049</v>
      </c>
      <c r="L275" s="1" t="s">
        <v>428</v>
      </c>
    </row>
    <row r="276" spans="1:12" ht="15.75" x14ac:dyDescent="0.25">
      <c r="A276" t="s">
        <v>1050</v>
      </c>
      <c r="B276" t="s">
        <v>739</v>
      </c>
      <c r="C276" t="s">
        <v>45</v>
      </c>
      <c r="D276" s="1" t="s">
        <v>531</v>
      </c>
      <c r="E276" t="s">
        <v>659</v>
      </c>
      <c r="F276" t="s">
        <v>451</v>
      </c>
      <c r="G276" s="1" t="s">
        <v>494</v>
      </c>
      <c r="I276" s="23">
        <v>7108134</v>
      </c>
      <c r="K276" s="1" t="s">
        <v>1051</v>
      </c>
      <c r="L276" s="1" t="s">
        <v>531</v>
      </c>
    </row>
    <row r="277" spans="1:12" ht="15.75" x14ac:dyDescent="0.25">
      <c r="A277" t="s">
        <v>1052</v>
      </c>
      <c r="B277" t="s">
        <v>739</v>
      </c>
      <c r="C277" t="s">
        <v>45</v>
      </c>
      <c r="D277" s="1" t="s">
        <v>531</v>
      </c>
      <c r="E277" t="s">
        <v>659</v>
      </c>
      <c r="F277" t="s">
        <v>451</v>
      </c>
      <c r="G277" s="1" t="s">
        <v>411</v>
      </c>
      <c r="I277" s="23">
        <v>7108135</v>
      </c>
      <c r="K277" s="1" t="s">
        <v>1053</v>
      </c>
      <c r="L277" s="1" t="s">
        <v>531</v>
      </c>
    </row>
    <row r="278" spans="1:12" ht="15.75" x14ac:dyDescent="0.25">
      <c r="A278" t="s">
        <v>1054</v>
      </c>
      <c r="B278" t="s">
        <v>739</v>
      </c>
      <c r="C278" t="s">
        <v>45</v>
      </c>
      <c r="D278" s="1" t="s">
        <v>531</v>
      </c>
      <c r="E278" t="s">
        <v>659</v>
      </c>
      <c r="F278" t="s">
        <v>451</v>
      </c>
      <c r="G278" s="1" t="s">
        <v>494</v>
      </c>
      <c r="I278" s="23">
        <v>7108136</v>
      </c>
      <c r="K278" s="1" t="s">
        <v>1055</v>
      </c>
      <c r="L278" s="1" t="s">
        <v>531</v>
      </c>
    </row>
    <row r="279" spans="1:12" ht="15.75" x14ac:dyDescent="0.25">
      <c r="A279" t="s">
        <v>1056</v>
      </c>
      <c r="B279" t="s">
        <v>739</v>
      </c>
      <c r="C279" t="s">
        <v>45</v>
      </c>
      <c r="D279" s="1" t="s">
        <v>531</v>
      </c>
      <c r="E279" t="s">
        <v>562</v>
      </c>
      <c r="F279" t="s">
        <v>451</v>
      </c>
      <c r="G279" s="1" t="s">
        <v>494</v>
      </c>
      <c r="I279" s="23">
        <v>7108137</v>
      </c>
      <c r="K279" s="1" t="s">
        <v>1057</v>
      </c>
      <c r="L279" s="1" t="s">
        <v>531</v>
      </c>
    </row>
    <row r="280" spans="1:12" ht="15.75" x14ac:dyDescent="0.25">
      <c r="A280" t="s">
        <v>1058</v>
      </c>
      <c r="B280" t="s">
        <v>739</v>
      </c>
      <c r="C280" t="s">
        <v>45</v>
      </c>
      <c r="D280" s="1" t="s">
        <v>531</v>
      </c>
      <c r="E280" t="s">
        <v>562</v>
      </c>
      <c r="F280" t="s">
        <v>451</v>
      </c>
      <c r="G280" s="1" t="s">
        <v>494</v>
      </c>
      <c r="I280" s="23">
        <v>7108138</v>
      </c>
      <c r="K280" s="1" t="s">
        <v>1059</v>
      </c>
      <c r="L280" s="1" t="s">
        <v>531</v>
      </c>
    </row>
    <row r="281" spans="1:12" ht="15.75" x14ac:dyDescent="0.25">
      <c r="A281" t="s">
        <v>1060</v>
      </c>
      <c r="B281" t="s">
        <v>739</v>
      </c>
      <c r="C281" t="s">
        <v>45</v>
      </c>
      <c r="D281" s="1" t="s">
        <v>531</v>
      </c>
      <c r="E281" t="s">
        <v>562</v>
      </c>
      <c r="F281" t="s">
        <v>451</v>
      </c>
      <c r="G281" s="1" t="s">
        <v>494</v>
      </c>
      <c r="I281" s="23">
        <v>7108139</v>
      </c>
      <c r="K281" s="1" t="s">
        <v>1061</v>
      </c>
      <c r="L281" s="1" t="s">
        <v>531</v>
      </c>
    </row>
    <row r="282" spans="1:12" ht="15.75" x14ac:dyDescent="0.25">
      <c r="A282" t="s">
        <v>1062</v>
      </c>
      <c r="B282" t="s">
        <v>739</v>
      </c>
      <c r="C282" t="s">
        <v>45</v>
      </c>
      <c r="D282" s="1" t="s">
        <v>531</v>
      </c>
      <c r="E282" t="s">
        <v>562</v>
      </c>
      <c r="F282" t="s">
        <v>451</v>
      </c>
      <c r="G282" s="1" t="s">
        <v>494</v>
      </c>
      <c r="I282" s="23">
        <v>7108140</v>
      </c>
      <c r="K282" s="1" t="s">
        <v>1063</v>
      </c>
      <c r="L282" s="1" t="s">
        <v>531</v>
      </c>
    </row>
    <row r="283" spans="1:12" ht="15.75" x14ac:dyDescent="0.25">
      <c r="A283" t="s">
        <v>1064</v>
      </c>
      <c r="B283" t="s">
        <v>739</v>
      </c>
      <c r="C283" t="s">
        <v>45</v>
      </c>
      <c r="D283" s="1" t="s">
        <v>531</v>
      </c>
      <c r="E283" t="s">
        <v>562</v>
      </c>
      <c r="F283" t="s">
        <v>451</v>
      </c>
      <c r="G283" s="1" t="s">
        <v>494</v>
      </c>
      <c r="I283" s="23">
        <v>7108141</v>
      </c>
      <c r="K283" s="1" t="s">
        <v>1065</v>
      </c>
      <c r="L283" s="1" t="s">
        <v>531</v>
      </c>
    </row>
    <row r="284" spans="1:12" ht="15.75" x14ac:dyDescent="0.25">
      <c r="A284" t="s">
        <v>1066</v>
      </c>
      <c r="B284" t="s">
        <v>739</v>
      </c>
      <c r="C284" t="s">
        <v>45</v>
      </c>
      <c r="D284" s="1" t="s">
        <v>531</v>
      </c>
      <c r="E284" t="s">
        <v>618</v>
      </c>
      <c r="F284" t="s">
        <v>451</v>
      </c>
      <c r="G284" s="1" t="s">
        <v>494</v>
      </c>
      <c r="I284" s="23">
        <v>7108142</v>
      </c>
      <c r="K284" s="1" t="s">
        <v>1067</v>
      </c>
      <c r="L284" s="1" t="s">
        <v>531</v>
      </c>
    </row>
    <row r="285" spans="1:12" ht="15.75" x14ac:dyDescent="0.25">
      <c r="A285" t="s">
        <v>1068</v>
      </c>
      <c r="B285" t="s">
        <v>739</v>
      </c>
      <c r="C285" t="s">
        <v>45</v>
      </c>
      <c r="D285" s="1" t="s">
        <v>531</v>
      </c>
      <c r="E285" t="s">
        <v>539</v>
      </c>
      <c r="F285" t="s">
        <v>451</v>
      </c>
      <c r="G285" s="1" t="s">
        <v>494</v>
      </c>
      <c r="I285" s="23">
        <v>7108143</v>
      </c>
      <c r="K285" s="1" t="s">
        <v>1069</v>
      </c>
      <c r="L285" s="1" t="s">
        <v>531</v>
      </c>
    </row>
    <row r="286" spans="1:12" ht="15.75" x14ac:dyDescent="0.25">
      <c r="A286" t="s">
        <v>1070</v>
      </c>
      <c r="B286" t="s">
        <v>739</v>
      </c>
      <c r="C286" t="s">
        <v>45</v>
      </c>
      <c r="D286" s="1" t="s">
        <v>531</v>
      </c>
      <c r="E286" t="s">
        <v>1071</v>
      </c>
      <c r="F286" t="s">
        <v>451</v>
      </c>
      <c r="G286" s="1" t="s">
        <v>405</v>
      </c>
      <c r="I286" s="23">
        <v>7108144</v>
      </c>
      <c r="K286" s="1" t="s">
        <v>1072</v>
      </c>
      <c r="L286" s="1" t="s">
        <v>531</v>
      </c>
    </row>
    <row r="287" spans="1:12" ht="15.75" x14ac:dyDescent="0.25">
      <c r="A287" t="s">
        <v>1073</v>
      </c>
      <c r="B287" t="s">
        <v>739</v>
      </c>
      <c r="C287" t="s">
        <v>45</v>
      </c>
      <c r="D287" s="1" t="s">
        <v>531</v>
      </c>
      <c r="E287" t="s">
        <v>1074</v>
      </c>
      <c r="F287" t="s">
        <v>451</v>
      </c>
      <c r="G287" s="1" t="s">
        <v>408</v>
      </c>
      <c r="I287" s="23">
        <v>7108145</v>
      </c>
      <c r="K287" s="1" t="s">
        <v>1075</v>
      </c>
      <c r="L287" s="1" t="s">
        <v>624</v>
      </c>
    </row>
    <row r="288" spans="1:12" ht="15.75" x14ac:dyDescent="0.25">
      <c r="A288" t="s">
        <v>1076</v>
      </c>
      <c r="B288" t="s">
        <v>739</v>
      </c>
      <c r="C288" t="s">
        <v>45</v>
      </c>
      <c r="D288" s="1" t="s">
        <v>531</v>
      </c>
      <c r="E288" t="s">
        <v>1077</v>
      </c>
      <c r="F288" t="s">
        <v>451</v>
      </c>
      <c r="G288" s="1" t="s">
        <v>494</v>
      </c>
      <c r="I288" s="23">
        <v>7108146</v>
      </c>
      <c r="K288" s="1" t="s">
        <v>1078</v>
      </c>
      <c r="L288" s="1" t="s">
        <v>624</v>
      </c>
    </row>
    <row r="289" spans="1:12" ht="15.75" x14ac:dyDescent="0.25">
      <c r="A289" t="s">
        <v>1079</v>
      </c>
      <c r="B289" t="s">
        <v>739</v>
      </c>
      <c r="C289" t="s">
        <v>45</v>
      </c>
      <c r="D289" s="1" t="s">
        <v>531</v>
      </c>
      <c r="E289" t="s">
        <v>1077</v>
      </c>
      <c r="F289" t="s">
        <v>451</v>
      </c>
      <c r="G289" s="1" t="s">
        <v>494</v>
      </c>
      <c r="I289" s="23">
        <v>7108147</v>
      </c>
      <c r="K289" s="1" t="s">
        <v>1080</v>
      </c>
      <c r="L289" s="1" t="s">
        <v>624</v>
      </c>
    </row>
    <row r="290" spans="1:12" ht="45" x14ac:dyDescent="0.25">
      <c r="A290" t="s">
        <v>1081</v>
      </c>
      <c r="B290" t="s">
        <v>1082</v>
      </c>
      <c r="C290" t="s">
        <v>42</v>
      </c>
      <c r="D290" s="1" t="s">
        <v>502</v>
      </c>
      <c r="E290" t="s">
        <v>753</v>
      </c>
      <c r="F290" t="s">
        <v>349</v>
      </c>
      <c r="G290" s="1" t="s">
        <v>1083</v>
      </c>
      <c r="I290" s="23">
        <v>7105001</v>
      </c>
      <c r="J290" s="11"/>
      <c r="K290" s="1" t="s">
        <v>1084</v>
      </c>
      <c r="L290" s="1" t="s">
        <v>649</v>
      </c>
    </row>
    <row r="291" spans="1:12" ht="15.75" x14ac:dyDescent="0.25">
      <c r="A291" t="s">
        <v>1085</v>
      </c>
      <c r="B291" t="s">
        <v>1082</v>
      </c>
      <c r="C291" t="s">
        <v>42</v>
      </c>
      <c r="D291" s="1" t="s">
        <v>502</v>
      </c>
      <c r="E291" t="s">
        <v>1086</v>
      </c>
      <c r="F291" t="s">
        <v>349</v>
      </c>
      <c r="G291" s="1" t="s">
        <v>486</v>
      </c>
      <c r="I291" s="23">
        <v>7105002</v>
      </c>
      <c r="J291" s="11"/>
      <c r="K291" s="1" t="s">
        <v>1087</v>
      </c>
      <c r="L291" s="1" t="s">
        <v>502</v>
      </c>
    </row>
    <row r="292" spans="1:12" ht="15.75" x14ac:dyDescent="0.25">
      <c r="A292" t="s">
        <v>1088</v>
      </c>
      <c r="B292" t="s">
        <v>1082</v>
      </c>
      <c r="C292" t="s">
        <v>42</v>
      </c>
      <c r="D292" s="1" t="s">
        <v>502</v>
      </c>
      <c r="E292" t="s">
        <v>779</v>
      </c>
      <c r="F292" t="s">
        <v>349</v>
      </c>
      <c r="G292" s="1" t="s">
        <v>399</v>
      </c>
      <c r="I292" s="23">
        <v>7105003</v>
      </c>
      <c r="J292" s="11"/>
      <c r="K292" s="1" t="s">
        <v>1089</v>
      </c>
      <c r="L292" s="1" t="s">
        <v>502</v>
      </c>
    </row>
    <row r="293" spans="1:12" ht="30" x14ac:dyDescent="0.25">
      <c r="A293" t="s">
        <v>1090</v>
      </c>
      <c r="B293" t="s">
        <v>1082</v>
      </c>
      <c r="C293" t="s">
        <v>42</v>
      </c>
      <c r="D293" s="1" t="s">
        <v>502</v>
      </c>
      <c r="E293" t="s">
        <v>1091</v>
      </c>
      <c r="F293" t="s">
        <v>353</v>
      </c>
      <c r="G293" s="1" t="s">
        <v>1092</v>
      </c>
      <c r="I293" s="23">
        <v>7105025</v>
      </c>
      <c r="J293" s="11"/>
      <c r="K293" s="1" t="s">
        <v>1093</v>
      </c>
      <c r="L293" s="1" t="s">
        <v>502</v>
      </c>
    </row>
    <row r="294" spans="1:12" ht="30" x14ac:dyDescent="0.25">
      <c r="A294" t="s">
        <v>1094</v>
      </c>
      <c r="B294" t="s">
        <v>1082</v>
      </c>
      <c r="C294" t="s">
        <v>42</v>
      </c>
      <c r="D294" s="1" t="s">
        <v>502</v>
      </c>
      <c r="E294" t="s">
        <v>509</v>
      </c>
      <c r="F294" t="s">
        <v>353</v>
      </c>
      <c r="G294" s="1" t="s">
        <v>1095</v>
      </c>
      <c r="I294" s="23">
        <v>7105026</v>
      </c>
      <c r="J294" s="11"/>
      <c r="K294" s="1" t="s">
        <v>1096</v>
      </c>
      <c r="L294" s="1" t="s">
        <v>502</v>
      </c>
    </row>
    <row r="295" spans="1:12" ht="15.75" x14ac:dyDescent="0.25">
      <c r="A295" t="s">
        <v>1097</v>
      </c>
      <c r="B295" t="s">
        <v>1082</v>
      </c>
      <c r="C295" t="s">
        <v>42</v>
      </c>
      <c r="D295" s="1" t="s">
        <v>502</v>
      </c>
      <c r="E295" t="s">
        <v>1098</v>
      </c>
      <c r="F295" t="s">
        <v>353</v>
      </c>
      <c r="G295" s="1" t="s">
        <v>486</v>
      </c>
      <c r="I295" s="23">
        <v>7105027</v>
      </c>
      <c r="J295" s="11"/>
      <c r="K295" s="1" t="s">
        <v>1099</v>
      </c>
      <c r="L295" s="1" t="s">
        <v>502</v>
      </c>
    </row>
    <row r="296" spans="1:12" ht="30" x14ac:dyDescent="0.25">
      <c r="A296" t="s">
        <v>1100</v>
      </c>
      <c r="B296" t="s">
        <v>1082</v>
      </c>
      <c r="C296" t="s">
        <v>42</v>
      </c>
      <c r="D296" s="1" t="s">
        <v>484</v>
      </c>
      <c r="E296" t="s">
        <v>804</v>
      </c>
      <c r="F296" t="s">
        <v>349</v>
      </c>
      <c r="G296" s="1" t="s">
        <v>490</v>
      </c>
      <c r="I296" s="23">
        <v>7105004</v>
      </c>
      <c r="J296" s="11"/>
      <c r="K296" s="1" t="s">
        <v>1101</v>
      </c>
      <c r="L296" s="1" t="s">
        <v>484</v>
      </c>
    </row>
    <row r="297" spans="1:12" ht="45" x14ac:dyDescent="0.25">
      <c r="A297" t="s">
        <v>1102</v>
      </c>
      <c r="B297" t="s">
        <v>1082</v>
      </c>
      <c r="C297" t="s">
        <v>42</v>
      </c>
      <c r="D297" s="1" t="s">
        <v>484</v>
      </c>
      <c r="E297" t="s">
        <v>1103</v>
      </c>
      <c r="F297" t="s">
        <v>349</v>
      </c>
      <c r="G297" s="1" t="s">
        <v>575</v>
      </c>
      <c r="I297" s="23">
        <v>7105005</v>
      </c>
      <c r="J297" s="11"/>
      <c r="K297" s="1" t="s">
        <v>1104</v>
      </c>
      <c r="L297" s="1" t="s">
        <v>484</v>
      </c>
    </row>
    <row r="298" spans="1:12" ht="30" x14ac:dyDescent="0.25">
      <c r="A298" t="s">
        <v>1105</v>
      </c>
      <c r="B298" t="s">
        <v>1082</v>
      </c>
      <c r="C298" t="s">
        <v>42</v>
      </c>
      <c r="D298" s="1" t="s">
        <v>484</v>
      </c>
      <c r="E298" t="s">
        <v>634</v>
      </c>
      <c r="F298" t="s">
        <v>349</v>
      </c>
      <c r="G298" s="1" t="s">
        <v>399</v>
      </c>
      <c r="I298" s="23">
        <v>7105006</v>
      </c>
      <c r="J298" s="11"/>
      <c r="K298" s="1" t="s">
        <v>1106</v>
      </c>
      <c r="L298" s="1" t="s">
        <v>484</v>
      </c>
    </row>
    <row r="299" spans="1:12" ht="30" x14ac:dyDescent="0.25">
      <c r="A299" t="s">
        <v>1107</v>
      </c>
      <c r="B299" t="s">
        <v>1082</v>
      </c>
      <c r="C299" t="s">
        <v>42</v>
      </c>
      <c r="D299" s="1" t="s">
        <v>484</v>
      </c>
      <c r="E299" t="s">
        <v>1108</v>
      </c>
      <c r="F299" t="s">
        <v>353</v>
      </c>
      <c r="G299" s="1" t="s">
        <v>399</v>
      </c>
      <c r="I299" s="23">
        <v>7105028</v>
      </c>
      <c r="J299" s="11"/>
      <c r="K299" s="1" t="s">
        <v>1109</v>
      </c>
      <c r="L299" s="1" t="s">
        <v>484</v>
      </c>
    </row>
    <row r="300" spans="1:12" ht="45" x14ac:dyDescent="0.25">
      <c r="A300" t="s">
        <v>1110</v>
      </c>
      <c r="B300" t="s">
        <v>1082</v>
      </c>
      <c r="C300" t="s">
        <v>42</v>
      </c>
      <c r="D300" s="1" t="s">
        <v>484</v>
      </c>
      <c r="E300" t="s">
        <v>1103</v>
      </c>
      <c r="F300" t="s">
        <v>353</v>
      </c>
      <c r="G300" s="1" t="s">
        <v>575</v>
      </c>
      <c r="I300" s="23">
        <v>7105029</v>
      </c>
      <c r="J300" s="11"/>
      <c r="K300" s="1" t="s">
        <v>1111</v>
      </c>
      <c r="L300" s="1" t="s">
        <v>484</v>
      </c>
    </row>
    <row r="301" spans="1:12" ht="30" x14ac:dyDescent="0.25">
      <c r="A301" t="s">
        <v>1112</v>
      </c>
      <c r="B301" t="s">
        <v>1082</v>
      </c>
      <c r="C301" t="s">
        <v>42</v>
      </c>
      <c r="D301" s="1" t="s">
        <v>484</v>
      </c>
      <c r="E301" t="s">
        <v>656</v>
      </c>
      <c r="F301" t="s">
        <v>353</v>
      </c>
      <c r="G301" s="1" t="s">
        <v>399</v>
      </c>
      <c r="I301" s="23">
        <v>7105030</v>
      </c>
      <c r="J301" s="11"/>
      <c r="K301" s="1" t="s">
        <v>1113</v>
      </c>
      <c r="L301" s="1" t="s">
        <v>484</v>
      </c>
    </row>
    <row r="302" spans="1:12" ht="30" x14ac:dyDescent="0.25">
      <c r="A302" t="s">
        <v>1114</v>
      </c>
      <c r="B302" t="s">
        <v>1082</v>
      </c>
      <c r="C302" t="s">
        <v>42</v>
      </c>
      <c r="D302" s="1" t="s">
        <v>512</v>
      </c>
      <c r="E302" t="s">
        <v>847</v>
      </c>
      <c r="F302" t="s">
        <v>349</v>
      </c>
      <c r="G302" s="1" t="s">
        <v>486</v>
      </c>
      <c r="I302" s="23">
        <v>7105007</v>
      </c>
      <c r="J302" s="11"/>
      <c r="K302" s="1" t="s">
        <v>1115</v>
      </c>
      <c r="L302" s="1" t="s">
        <v>512</v>
      </c>
    </row>
    <row r="303" spans="1:12" ht="30" x14ac:dyDescent="0.25">
      <c r="A303" t="s">
        <v>1116</v>
      </c>
      <c r="B303" t="s">
        <v>1082</v>
      </c>
      <c r="C303" t="s">
        <v>42</v>
      </c>
      <c r="D303" s="1" t="s">
        <v>512</v>
      </c>
      <c r="E303" t="s">
        <v>566</v>
      </c>
      <c r="F303" t="s">
        <v>349</v>
      </c>
      <c r="G303" s="1" t="s">
        <v>486</v>
      </c>
      <c r="I303" s="23">
        <v>7105008</v>
      </c>
      <c r="J303" s="11"/>
      <c r="K303" s="1" t="s">
        <v>1117</v>
      </c>
      <c r="L303" s="1" t="s">
        <v>512</v>
      </c>
    </row>
    <row r="304" spans="1:12" ht="30" x14ac:dyDescent="0.25">
      <c r="A304" t="s">
        <v>1118</v>
      </c>
      <c r="B304" t="s">
        <v>1082</v>
      </c>
      <c r="C304" t="s">
        <v>42</v>
      </c>
      <c r="D304" s="1" t="s">
        <v>512</v>
      </c>
      <c r="E304" t="s">
        <v>679</v>
      </c>
      <c r="F304" t="s">
        <v>349</v>
      </c>
      <c r="G304" s="1" t="s">
        <v>527</v>
      </c>
      <c r="I304" s="23">
        <v>7105009</v>
      </c>
      <c r="J304" s="11"/>
      <c r="K304" s="1" t="s">
        <v>1119</v>
      </c>
      <c r="L304" s="1" t="s">
        <v>512</v>
      </c>
    </row>
    <row r="305" spans="1:12" ht="30" x14ac:dyDescent="0.25">
      <c r="A305" t="s">
        <v>1120</v>
      </c>
      <c r="B305" t="s">
        <v>1082</v>
      </c>
      <c r="C305" t="s">
        <v>42</v>
      </c>
      <c r="D305" s="1" t="s">
        <v>512</v>
      </c>
      <c r="E305" t="s">
        <v>856</v>
      </c>
      <c r="F305" t="s">
        <v>353</v>
      </c>
      <c r="G305" s="1" t="s">
        <v>486</v>
      </c>
      <c r="I305" s="23">
        <v>7105031</v>
      </c>
      <c r="J305" s="11"/>
      <c r="K305" s="1" t="s">
        <v>1121</v>
      </c>
      <c r="L305" s="1" t="s">
        <v>512</v>
      </c>
    </row>
    <row r="306" spans="1:12" ht="45" x14ac:dyDescent="0.25">
      <c r="A306" t="s">
        <v>1122</v>
      </c>
      <c r="B306" t="s">
        <v>1082</v>
      </c>
      <c r="C306" t="s">
        <v>42</v>
      </c>
      <c r="D306" s="1" t="s">
        <v>512</v>
      </c>
      <c r="E306" t="s">
        <v>582</v>
      </c>
      <c r="F306" t="s">
        <v>353</v>
      </c>
      <c r="G306" s="1" t="s">
        <v>575</v>
      </c>
      <c r="I306" s="23">
        <v>7105032</v>
      </c>
      <c r="J306" s="11"/>
      <c r="K306" s="1" t="s">
        <v>1123</v>
      </c>
      <c r="L306" s="1" t="s">
        <v>512</v>
      </c>
    </row>
    <row r="307" spans="1:12" ht="30" x14ac:dyDescent="0.25">
      <c r="A307" t="s">
        <v>1124</v>
      </c>
      <c r="B307" t="s">
        <v>1082</v>
      </c>
      <c r="C307" t="s">
        <v>42</v>
      </c>
      <c r="D307" s="1" t="s">
        <v>512</v>
      </c>
      <c r="E307" t="s">
        <v>513</v>
      </c>
      <c r="F307" t="s">
        <v>353</v>
      </c>
      <c r="G307" s="1" t="s">
        <v>514</v>
      </c>
      <c r="I307" s="23">
        <v>7105033</v>
      </c>
      <c r="J307" s="11"/>
      <c r="K307" s="1" t="s">
        <v>1125</v>
      </c>
      <c r="L307" s="1" t="s">
        <v>512</v>
      </c>
    </row>
    <row r="308" spans="1:12" ht="15.75" x14ac:dyDescent="0.25">
      <c r="A308" t="s">
        <v>1126</v>
      </c>
      <c r="B308" t="s">
        <v>1082</v>
      </c>
      <c r="C308" t="s">
        <v>42</v>
      </c>
      <c r="D308" s="1" t="s">
        <v>488</v>
      </c>
      <c r="E308" t="s">
        <v>885</v>
      </c>
      <c r="F308" t="s">
        <v>349</v>
      </c>
      <c r="G308" s="1" t="s">
        <v>399</v>
      </c>
      <c r="I308" s="23">
        <v>7105010</v>
      </c>
      <c r="J308" s="11"/>
      <c r="K308" s="1" t="s">
        <v>1127</v>
      </c>
      <c r="L308" s="1" t="s">
        <v>488</v>
      </c>
    </row>
    <row r="309" spans="1:12" ht="45" x14ac:dyDescent="0.25">
      <c r="A309" t="s">
        <v>1128</v>
      </c>
      <c r="B309" t="s">
        <v>1082</v>
      </c>
      <c r="C309" t="s">
        <v>42</v>
      </c>
      <c r="D309" s="1" t="s">
        <v>488</v>
      </c>
      <c r="E309" t="s">
        <v>1129</v>
      </c>
      <c r="F309" t="s">
        <v>349</v>
      </c>
      <c r="G309" s="1" t="s">
        <v>575</v>
      </c>
      <c r="I309" s="23">
        <v>7105011</v>
      </c>
      <c r="J309" s="11"/>
      <c r="K309" s="1" t="s">
        <v>1130</v>
      </c>
      <c r="L309" s="1" t="s">
        <v>488</v>
      </c>
    </row>
    <row r="310" spans="1:12" ht="15.75" x14ac:dyDescent="0.25">
      <c r="A310" t="s">
        <v>1131</v>
      </c>
      <c r="B310" t="s">
        <v>1082</v>
      </c>
      <c r="C310" t="s">
        <v>42</v>
      </c>
      <c r="D310" s="1" t="s">
        <v>488</v>
      </c>
      <c r="E310" t="s">
        <v>1132</v>
      </c>
      <c r="F310" t="s">
        <v>349</v>
      </c>
      <c r="G310" s="1" t="s">
        <v>1133</v>
      </c>
      <c r="I310" s="23">
        <v>7105012</v>
      </c>
      <c r="J310" s="11"/>
      <c r="K310" s="1" t="s">
        <v>1134</v>
      </c>
      <c r="L310" s="1" t="s">
        <v>488</v>
      </c>
    </row>
    <row r="311" spans="1:12" ht="45" x14ac:dyDescent="0.25">
      <c r="A311" t="s">
        <v>1135</v>
      </c>
      <c r="B311" t="s">
        <v>1082</v>
      </c>
      <c r="C311" t="s">
        <v>42</v>
      </c>
      <c r="D311" s="1" t="s">
        <v>488</v>
      </c>
      <c r="E311" t="s">
        <v>1129</v>
      </c>
      <c r="F311" t="s">
        <v>353</v>
      </c>
      <c r="G311" s="1" t="s">
        <v>575</v>
      </c>
      <c r="I311" s="23">
        <v>7105034</v>
      </c>
      <c r="J311" s="11"/>
      <c r="K311" s="1" t="s">
        <v>1136</v>
      </c>
      <c r="L311" s="1" t="s">
        <v>488</v>
      </c>
    </row>
    <row r="312" spans="1:12" ht="30" x14ac:dyDescent="0.25">
      <c r="A312" t="s">
        <v>1137</v>
      </c>
      <c r="B312" t="s">
        <v>1082</v>
      </c>
      <c r="C312" t="s">
        <v>42</v>
      </c>
      <c r="D312" s="1" t="s">
        <v>488</v>
      </c>
      <c r="E312" t="s">
        <v>907</v>
      </c>
      <c r="F312" t="s">
        <v>353</v>
      </c>
      <c r="G312" s="1" t="s">
        <v>1138</v>
      </c>
      <c r="I312" s="23">
        <v>7105035</v>
      </c>
      <c r="J312" s="11"/>
      <c r="K312" s="1" t="s">
        <v>1139</v>
      </c>
      <c r="L312" s="1" t="s">
        <v>488</v>
      </c>
    </row>
    <row r="313" spans="1:12" ht="15.75" x14ac:dyDescent="0.25">
      <c r="A313" t="s">
        <v>1140</v>
      </c>
      <c r="B313" t="s">
        <v>1082</v>
      </c>
      <c r="C313" t="s">
        <v>42</v>
      </c>
      <c r="D313" s="1" t="s">
        <v>488</v>
      </c>
      <c r="E313" t="s">
        <v>507</v>
      </c>
      <c r="F313" t="s">
        <v>353</v>
      </c>
      <c r="G313" s="1" t="s">
        <v>626</v>
      </c>
      <c r="I313" s="23">
        <v>7105036</v>
      </c>
      <c r="J313" s="11"/>
      <c r="K313" s="1" t="s">
        <v>1141</v>
      </c>
      <c r="L313" s="1" t="s">
        <v>488</v>
      </c>
    </row>
    <row r="314" spans="1:12" ht="15.75" x14ac:dyDescent="0.25">
      <c r="A314" t="s">
        <v>1142</v>
      </c>
      <c r="B314" t="s">
        <v>1082</v>
      </c>
      <c r="C314" t="s">
        <v>42</v>
      </c>
      <c r="D314" s="1" t="s">
        <v>492</v>
      </c>
      <c r="E314" t="s">
        <v>673</v>
      </c>
      <c r="F314" t="s">
        <v>349</v>
      </c>
      <c r="G314" s="1" t="s">
        <v>494</v>
      </c>
      <c r="I314" s="23">
        <v>7105013</v>
      </c>
      <c r="J314" s="11"/>
      <c r="K314" s="1" t="s">
        <v>1143</v>
      </c>
      <c r="L314" s="1" t="s">
        <v>492</v>
      </c>
    </row>
    <row r="315" spans="1:12" ht="15.75" x14ac:dyDescent="0.25">
      <c r="A315" t="s">
        <v>1144</v>
      </c>
      <c r="B315" t="s">
        <v>1082</v>
      </c>
      <c r="C315" t="s">
        <v>42</v>
      </c>
      <c r="D315" s="1" t="s">
        <v>492</v>
      </c>
      <c r="E315" t="s">
        <v>966</v>
      </c>
      <c r="F315" t="s">
        <v>349</v>
      </c>
      <c r="G315" s="1" t="s">
        <v>494</v>
      </c>
      <c r="I315" s="23">
        <v>7105014</v>
      </c>
      <c r="J315" s="11"/>
      <c r="K315" s="1" t="s">
        <v>1145</v>
      </c>
      <c r="L315" s="1" t="s">
        <v>492</v>
      </c>
    </row>
    <row r="316" spans="1:12" ht="15.75" x14ac:dyDescent="0.25">
      <c r="A316" t="s">
        <v>1146</v>
      </c>
      <c r="B316" t="s">
        <v>1082</v>
      </c>
      <c r="C316" t="s">
        <v>42</v>
      </c>
      <c r="D316" s="1" t="s">
        <v>492</v>
      </c>
      <c r="E316" t="s">
        <v>1147</v>
      </c>
      <c r="F316" t="s">
        <v>349</v>
      </c>
      <c r="G316" s="1" t="s">
        <v>494</v>
      </c>
      <c r="I316" s="23">
        <v>7105015</v>
      </c>
      <c r="J316" s="11"/>
      <c r="K316" s="1" t="s">
        <v>1148</v>
      </c>
      <c r="L316" s="1" t="s">
        <v>492</v>
      </c>
    </row>
    <row r="317" spans="1:12" ht="30" x14ac:dyDescent="0.25">
      <c r="A317" t="s">
        <v>1149</v>
      </c>
      <c r="B317" t="s">
        <v>1082</v>
      </c>
      <c r="C317" t="s">
        <v>42</v>
      </c>
      <c r="D317" s="1" t="s">
        <v>492</v>
      </c>
      <c r="E317" t="s">
        <v>934</v>
      </c>
      <c r="F317" t="s">
        <v>353</v>
      </c>
      <c r="G317" s="1" t="s">
        <v>533</v>
      </c>
      <c r="I317" s="23">
        <v>7105037</v>
      </c>
      <c r="J317" s="11"/>
      <c r="K317" s="1" t="s">
        <v>1150</v>
      </c>
      <c r="L317" s="1" t="s">
        <v>492</v>
      </c>
    </row>
    <row r="318" spans="1:12" ht="15.75" x14ac:dyDescent="0.25">
      <c r="A318" t="s">
        <v>1151</v>
      </c>
      <c r="B318" t="s">
        <v>1082</v>
      </c>
      <c r="C318" t="s">
        <v>42</v>
      </c>
      <c r="D318" s="1" t="s">
        <v>492</v>
      </c>
      <c r="E318" t="s">
        <v>493</v>
      </c>
      <c r="F318" t="s">
        <v>353</v>
      </c>
      <c r="G318" s="1" t="s">
        <v>494</v>
      </c>
      <c r="I318" s="23">
        <v>7105038</v>
      </c>
      <c r="J318" s="11"/>
      <c r="K318" s="1" t="s">
        <v>1152</v>
      </c>
      <c r="L318" s="1" t="s">
        <v>492</v>
      </c>
    </row>
    <row r="319" spans="1:12" ht="45" x14ac:dyDescent="0.25">
      <c r="A319" t="s">
        <v>1153</v>
      </c>
      <c r="B319" t="s">
        <v>1082</v>
      </c>
      <c r="C319" t="s">
        <v>42</v>
      </c>
      <c r="D319" s="1" t="s">
        <v>492</v>
      </c>
      <c r="E319" t="s">
        <v>1147</v>
      </c>
      <c r="F319" t="s">
        <v>353</v>
      </c>
      <c r="G319" s="1" t="s">
        <v>575</v>
      </c>
      <c r="I319" s="23">
        <v>7105039</v>
      </c>
      <c r="J319" s="11"/>
      <c r="K319" s="1" t="s">
        <v>1154</v>
      </c>
      <c r="L319" s="1" t="s">
        <v>492</v>
      </c>
    </row>
    <row r="320" spans="1:12" ht="15.75" x14ac:dyDescent="0.25">
      <c r="A320" t="s">
        <v>1155</v>
      </c>
      <c r="B320" t="s">
        <v>1082</v>
      </c>
      <c r="C320" t="s">
        <v>42</v>
      </c>
      <c r="D320" s="1" t="s">
        <v>535</v>
      </c>
      <c r="E320" t="s">
        <v>984</v>
      </c>
      <c r="F320" t="s">
        <v>349</v>
      </c>
      <c r="G320" s="1" t="s">
        <v>494</v>
      </c>
      <c r="I320" s="23">
        <v>7105016</v>
      </c>
      <c r="J320" s="11"/>
      <c r="K320" s="1" t="s">
        <v>1156</v>
      </c>
      <c r="L320" s="1" t="s">
        <v>535</v>
      </c>
    </row>
    <row r="321" spans="1:12" ht="15.75" x14ac:dyDescent="0.25">
      <c r="A321" t="s">
        <v>1157</v>
      </c>
      <c r="B321" t="s">
        <v>1082</v>
      </c>
      <c r="C321" t="s">
        <v>42</v>
      </c>
      <c r="D321" s="1" t="s">
        <v>535</v>
      </c>
      <c r="E321" t="s">
        <v>1158</v>
      </c>
      <c r="F321" t="s">
        <v>349</v>
      </c>
      <c r="G321" s="1" t="s">
        <v>494</v>
      </c>
      <c r="I321" s="23">
        <v>7105017</v>
      </c>
      <c r="J321" s="11"/>
      <c r="K321" s="1" t="s">
        <v>1159</v>
      </c>
      <c r="L321" s="1" t="s">
        <v>535</v>
      </c>
    </row>
    <row r="322" spans="1:12" ht="15.75" x14ac:dyDescent="0.25">
      <c r="A322" t="s">
        <v>1160</v>
      </c>
      <c r="B322" t="s">
        <v>1082</v>
      </c>
      <c r="C322" t="s">
        <v>42</v>
      </c>
      <c r="D322" s="1" t="s">
        <v>535</v>
      </c>
      <c r="E322" t="s">
        <v>991</v>
      </c>
      <c r="F322" t="s">
        <v>349</v>
      </c>
      <c r="G322" s="1" t="s">
        <v>494</v>
      </c>
      <c r="I322" s="23">
        <v>7105018</v>
      </c>
      <c r="J322" s="11"/>
      <c r="K322" s="1" t="s">
        <v>1161</v>
      </c>
      <c r="L322" s="1" t="s">
        <v>535</v>
      </c>
    </row>
    <row r="323" spans="1:12" ht="15.75" x14ac:dyDescent="0.25">
      <c r="A323" t="s">
        <v>1162</v>
      </c>
      <c r="B323" t="s">
        <v>1082</v>
      </c>
      <c r="C323" t="s">
        <v>42</v>
      </c>
      <c r="D323" s="1" t="s">
        <v>535</v>
      </c>
      <c r="E323" t="s">
        <v>584</v>
      </c>
      <c r="F323" t="s">
        <v>353</v>
      </c>
      <c r="G323" s="1" t="s">
        <v>527</v>
      </c>
      <c r="I323" s="23">
        <v>7105040</v>
      </c>
      <c r="J323" s="11"/>
      <c r="K323" s="1" t="s">
        <v>1163</v>
      </c>
      <c r="L323" s="1" t="s">
        <v>535</v>
      </c>
    </row>
    <row r="324" spans="1:12" ht="15.75" x14ac:dyDescent="0.25">
      <c r="A324" t="s">
        <v>1164</v>
      </c>
      <c r="B324" t="s">
        <v>1082</v>
      </c>
      <c r="C324" t="s">
        <v>42</v>
      </c>
      <c r="D324" s="1" t="s">
        <v>535</v>
      </c>
      <c r="E324" t="s">
        <v>1158</v>
      </c>
      <c r="F324" t="s">
        <v>353</v>
      </c>
      <c r="G324" s="1" t="s">
        <v>494</v>
      </c>
      <c r="I324" s="23">
        <v>7105041</v>
      </c>
      <c r="J324" s="11"/>
      <c r="K324" s="1" t="s">
        <v>1165</v>
      </c>
      <c r="L324" s="1" t="s">
        <v>535</v>
      </c>
    </row>
    <row r="325" spans="1:12" ht="15.75" x14ac:dyDescent="0.25">
      <c r="A325" t="s">
        <v>1166</v>
      </c>
      <c r="B325" t="s">
        <v>1082</v>
      </c>
      <c r="C325" t="s">
        <v>42</v>
      </c>
      <c r="D325" s="1" t="s">
        <v>535</v>
      </c>
      <c r="E325" t="s">
        <v>1167</v>
      </c>
      <c r="F325" t="s">
        <v>353</v>
      </c>
      <c r="G325" s="1" t="s">
        <v>1168</v>
      </c>
      <c r="I325" s="23">
        <v>7105042</v>
      </c>
      <c r="J325" s="11"/>
      <c r="K325" s="1" t="s">
        <v>1169</v>
      </c>
      <c r="L325" s="1" t="s">
        <v>535</v>
      </c>
    </row>
    <row r="326" spans="1:12" ht="15.75" x14ac:dyDescent="0.25">
      <c r="A326" t="s">
        <v>1170</v>
      </c>
      <c r="B326" t="s">
        <v>1082</v>
      </c>
      <c r="C326" t="s">
        <v>42</v>
      </c>
      <c r="D326" s="1" t="s">
        <v>428</v>
      </c>
      <c r="E326" t="s">
        <v>691</v>
      </c>
      <c r="F326" t="s">
        <v>349</v>
      </c>
      <c r="G326" s="1" t="s">
        <v>494</v>
      </c>
      <c r="I326" s="23">
        <v>7105019</v>
      </c>
      <c r="J326" s="11"/>
      <c r="K326" s="1" t="s">
        <v>1171</v>
      </c>
      <c r="L326" s="1" t="s">
        <v>428</v>
      </c>
    </row>
    <row r="327" spans="1:12" ht="15.75" x14ac:dyDescent="0.25">
      <c r="A327" t="s">
        <v>1172</v>
      </c>
      <c r="B327" t="s">
        <v>1082</v>
      </c>
      <c r="C327" t="s">
        <v>42</v>
      </c>
      <c r="D327" s="1" t="s">
        <v>428</v>
      </c>
      <c r="E327" t="s">
        <v>1018</v>
      </c>
      <c r="F327" t="s">
        <v>349</v>
      </c>
      <c r="G327" s="1" t="s">
        <v>408</v>
      </c>
      <c r="I327" s="23">
        <v>7105020</v>
      </c>
      <c r="J327" s="11"/>
      <c r="K327" s="1" t="s">
        <v>1173</v>
      </c>
      <c r="L327" s="1" t="s">
        <v>428</v>
      </c>
    </row>
    <row r="328" spans="1:12" ht="15.75" x14ac:dyDescent="0.25">
      <c r="A328" t="s">
        <v>1174</v>
      </c>
      <c r="B328" t="s">
        <v>1082</v>
      </c>
      <c r="C328" t="s">
        <v>42</v>
      </c>
      <c r="D328" s="1" t="s">
        <v>428</v>
      </c>
      <c r="E328" t="s">
        <v>529</v>
      </c>
      <c r="F328" t="s">
        <v>349</v>
      </c>
      <c r="G328" s="1" t="s">
        <v>494</v>
      </c>
      <c r="I328" s="23">
        <v>7105021</v>
      </c>
      <c r="J328" s="11"/>
      <c r="K328" s="1" t="s">
        <v>1175</v>
      </c>
      <c r="L328" s="1" t="s">
        <v>428</v>
      </c>
    </row>
    <row r="329" spans="1:12" ht="15.75" x14ac:dyDescent="0.25">
      <c r="A329" t="s">
        <v>1176</v>
      </c>
      <c r="B329" t="s">
        <v>1082</v>
      </c>
      <c r="C329" t="s">
        <v>42</v>
      </c>
      <c r="D329" s="1" t="s">
        <v>428</v>
      </c>
      <c r="E329" t="s">
        <v>1177</v>
      </c>
      <c r="F329" t="s">
        <v>353</v>
      </c>
      <c r="G329" s="1" t="s">
        <v>494</v>
      </c>
      <c r="I329" s="23">
        <v>7105043</v>
      </c>
      <c r="J329" s="11"/>
      <c r="K329" s="1" t="s">
        <v>1178</v>
      </c>
      <c r="L329" s="1" t="s">
        <v>428</v>
      </c>
    </row>
    <row r="330" spans="1:12" ht="15.75" x14ac:dyDescent="0.25">
      <c r="A330" t="s">
        <v>1179</v>
      </c>
      <c r="B330" t="s">
        <v>1082</v>
      </c>
      <c r="C330" t="s">
        <v>42</v>
      </c>
      <c r="D330" s="1" t="s">
        <v>428</v>
      </c>
      <c r="E330" t="s">
        <v>1001</v>
      </c>
      <c r="F330" t="s">
        <v>353</v>
      </c>
      <c r="G330" s="1" t="s">
        <v>494</v>
      </c>
      <c r="I330" s="23">
        <v>7105044</v>
      </c>
      <c r="J330" s="11"/>
      <c r="K330" s="1" t="s">
        <v>1180</v>
      </c>
      <c r="L330" s="1" t="s">
        <v>428</v>
      </c>
    </row>
    <row r="331" spans="1:12" ht="15.75" x14ac:dyDescent="0.25">
      <c r="A331" t="s">
        <v>1181</v>
      </c>
      <c r="B331" t="s">
        <v>1082</v>
      </c>
      <c r="C331" t="s">
        <v>42</v>
      </c>
      <c r="D331" s="1" t="s">
        <v>428</v>
      </c>
      <c r="E331" t="s">
        <v>1182</v>
      </c>
      <c r="F331" t="s">
        <v>353</v>
      </c>
      <c r="G331" s="1" t="s">
        <v>494</v>
      </c>
      <c r="I331" s="23">
        <v>7105045</v>
      </c>
      <c r="J331" s="11"/>
      <c r="K331" s="1" t="s">
        <v>1183</v>
      </c>
      <c r="L331" s="1" t="s">
        <v>428</v>
      </c>
    </row>
    <row r="332" spans="1:12" ht="15.75" x14ac:dyDescent="0.25">
      <c r="A332" t="s">
        <v>1184</v>
      </c>
      <c r="B332" t="s">
        <v>1082</v>
      </c>
      <c r="C332" t="s">
        <v>42</v>
      </c>
      <c r="D332" s="1" t="s">
        <v>531</v>
      </c>
      <c r="E332" t="s">
        <v>1185</v>
      </c>
      <c r="F332" t="s">
        <v>349</v>
      </c>
      <c r="G332" s="1" t="s">
        <v>486</v>
      </c>
      <c r="I332" s="23">
        <v>7105022</v>
      </c>
      <c r="J332" s="11"/>
      <c r="K332" s="1" t="s">
        <v>1186</v>
      </c>
      <c r="L332" s="1" t="s">
        <v>531</v>
      </c>
    </row>
    <row r="333" spans="1:12" ht="15.75" x14ac:dyDescent="0.25">
      <c r="A333" t="s">
        <v>1187</v>
      </c>
      <c r="B333" t="s">
        <v>1082</v>
      </c>
      <c r="C333" t="s">
        <v>42</v>
      </c>
      <c r="D333" s="1" t="s">
        <v>531</v>
      </c>
      <c r="E333" t="s">
        <v>1071</v>
      </c>
      <c r="F333" t="s">
        <v>349</v>
      </c>
      <c r="G333" s="1" t="s">
        <v>494</v>
      </c>
      <c r="I333" s="23">
        <v>7105023</v>
      </c>
      <c r="J333" s="11"/>
      <c r="K333" s="1" t="s">
        <v>1188</v>
      </c>
      <c r="L333" s="1" t="s">
        <v>531</v>
      </c>
    </row>
    <row r="334" spans="1:12" ht="15.75" x14ac:dyDescent="0.25">
      <c r="A334" t="s">
        <v>1189</v>
      </c>
      <c r="B334" t="s">
        <v>1082</v>
      </c>
      <c r="C334" t="s">
        <v>42</v>
      </c>
      <c r="D334" s="1" t="s">
        <v>531</v>
      </c>
      <c r="E334" t="s">
        <v>1190</v>
      </c>
      <c r="F334" t="s">
        <v>349</v>
      </c>
      <c r="G334" s="1" t="s">
        <v>494</v>
      </c>
      <c r="I334" s="23">
        <v>7105024</v>
      </c>
      <c r="J334" s="11"/>
      <c r="K334" s="1" t="s">
        <v>1191</v>
      </c>
      <c r="L334" s="1" t="s">
        <v>624</v>
      </c>
    </row>
    <row r="335" spans="1:12" ht="15.75" x14ac:dyDescent="0.25">
      <c r="A335" t="s">
        <v>1192</v>
      </c>
      <c r="B335" t="s">
        <v>1082</v>
      </c>
      <c r="C335" t="s">
        <v>42</v>
      </c>
      <c r="D335" s="1" t="s">
        <v>531</v>
      </c>
      <c r="E335" t="s">
        <v>1193</v>
      </c>
      <c r="F335" t="s">
        <v>353</v>
      </c>
      <c r="G335" s="1" t="s">
        <v>1133</v>
      </c>
      <c r="I335" s="23">
        <v>7105046</v>
      </c>
      <c r="J335" s="11"/>
      <c r="K335" s="1" t="s">
        <v>1194</v>
      </c>
      <c r="L335" s="1" t="s">
        <v>531</v>
      </c>
    </row>
    <row r="336" spans="1:12" ht="15.75" x14ac:dyDescent="0.25">
      <c r="A336" t="s">
        <v>1195</v>
      </c>
      <c r="B336" t="s">
        <v>1082</v>
      </c>
      <c r="C336" t="s">
        <v>42</v>
      </c>
      <c r="D336" s="1" t="s">
        <v>531</v>
      </c>
      <c r="E336" t="s">
        <v>1196</v>
      </c>
      <c r="F336" t="s">
        <v>353</v>
      </c>
      <c r="G336" s="1" t="s">
        <v>494</v>
      </c>
      <c r="I336" s="23">
        <v>7105047</v>
      </c>
      <c r="J336" s="11"/>
      <c r="K336" s="1" t="s">
        <v>1197</v>
      </c>
      <c r="L336" s="1" t="s">
        <v>531</v>
      </c>
    </row>
    <row r="337" spans="1:12" ht="15.75" x14ac:dyDescent="0.25">
      <c r="A337" t="s">
        <v>1198</v>
      </c>
      <c r="B337" t="s">
        <v>1082</v>
      </c>
      <c r="C337" t="s">
        <v>42</v>
      </c>
      <c r="D337" s="1" t="s">
        <v>531</v>
      </c>
      <c r="E337" t="s">
        <v>1199</v>
      </c>
      <c r="F337" t="s">
        <v>353</v>
      </c>
      <c r="G337" s="1" t="s">
        <v>494</v>
      </c>
      <c r="I337" s="23">
        <v>7105048</v>
      </c>
      <c r="J337" s="11"/>
      <c r="K337" s="1" t="s">
        <v>1200</v>
      </c>
      <c r="L337" s="1" t="s">
        <v>531</v>
      </c>
    </row>
    <row r="338" spans="1:12" ht="30" x14ac:dyDescent="0.25">
      <c r="A338" t="s">
        <v>1201</v>
      </c>
      <c r="B338" t="s">
        <v>1202</v>
      </c>
      <c r="C338" t="s">
        <v>42</v>
      </c>
      <c r="D338" s="1" t="s">
        <v>502</v>
      </c>
      <c r="E338" t="s">
        <v>625</v>
      </c>
      <c r="F338" t="s">
        <v>355</v>
      </c>
      <c r="G338" s="1" t="s">
        <v>1203</v>
      </c>
      <c r="I338" s="23">
        <v>7105049</v>
      </c>
      <c r="J338" s="11"/>
      <c r="K338" s="1" t="s">
        <v>1204</v>
      </c>
      <c r="L338" s="1" t="s">
        <v>649</v>
      </c>
    </row>
    <row r="339" spans="1:12" ht="30" x14ac:dyDescent="0.25">
      <c r="A339" t="s">
        <v>1205</v>
      </c>
      <c r="B339" t="s">
        <v>1202</v>
      </c>
      <c r="C339" t="s">
        <v>42</v>
      </c>
      <c r="D339" s="1" t="s">
        <v>502</v>
      </c>
      <c r="E339" t="s">
        <v>779</v>
      </c>
      <c r="F339" t="s">
        <v>355</v>
      </c>
      <c r="G339" s="1" t="s">
        <v>1206</v>
      </c>
      <c r="I339" s="23">
        <v>7105050</v>
      </c>
      <c r="J339" s="11"/>
      <c r="K339" s="1" t="s">
        <v>1207</v>
      </c>
      <c r="L339" s="1" t="s">
        <v>502</v>
      </c>
    </row>
    <row r="340" spans="1:12" ht="15.75" x14ac:dyDescent="0.25">
      <c r="A340" t="s">
        <v>1208</v>
      </c>
      <c r="B340" t="s">
        <v>1202</v>
      </c>
      <c r="C340" t="s">
        <v>42</v>
      </c>
      <c r="D340" s="1" t="s">
        <v>502</v>
      </c>
      <c r="E340" t="s">
        <v>1209</v>
      </c>
      <c r="F340" t="s">
        <v>355</v>
      </c>
      <c r="G340" s="1" t="s">
        <v>486</v>
      </c>
      <c r="I340" s="23">
        <v>7105051</v>
      </c>
      <c r="J340" s="11"/>
      <c r="K340" s="1" t="s">
        <v>1210</v>
      </c>
      <c r="L340" s="1" t="s">
        <v>502</v>
      </c>
    </row>
    <row r="341" spans="1:12" ht="30" x14ac:dyDescent="0.25">
      <c r="A341" t="s">
        <v>1211</v>
      </c>
      <c r="B341" t="s">
        <v>1202</v>
      </c>
      <c r="C341" t="s">
        <v>42</v>
      </c>
      <c r="D341" s="1" t="s">
        <v>502</v>
      </c>
      <c r="E341" t="s">
        <v>740</v>
      </c>
      <c r="F341" t="s">
        <v>357</v>
      </c>
      <c r="G341" s="1" t="s">
        <v>1212</v>
      </c>
      <c r="I341" s="23">
        <v>7105063</v>
      </c>
      <c r="J341" s="11"/>
      <c r="K341" s="1" t="s">
        <v>1213</v>
      </c>
      <c r="L341" s="1" t="s">
        <v>649</v>
      </c>
    </row>
    <row r="342" spans="1:12" ht="30" x14ac:dyDescent="0.25">
      <c r="A342" t="s">
        <v>1214</v>
      </c>
      <c r="B342" t="s">
        <v>1202</v>
      </c>
      <c r="C342" t="s">
        <v>42</v>
      </c>
      <c r="D342" s="1" t="s">
        <v>502</v>
      </c>
      <c r="E342" t="s">
        <v>650</v>
      </c>
      <c r="F342" t="s">
        <v>357</v>
      </c>
      <c r="G342" s="1" t="s">
        <v>1215</v>
      </c>
      <c r="I342" s="23">
        <v>7105064</v>
      </c>
      <c r="J342" s="11"/>
      <c r="K342" s="1" t="s">
        <v>1216</v>
      </c>
      <c r="L342" s="1" t="s">
        <v>649</v>
      </c>
    </row>
    <row r="343" spans="1:12" ht="15.75" x14ac:dyDescent="0.25">
      <c r="A343" t="s">
        <v>1217</v>
      </c>
      <c r="B343" t="s">
        <v>1202</v>
      </c>
      <c r="C343" t="s">
        <v>42</v>
      </c>
      <c r="D343" s="1" t="s">
        <v>502</v>
      </c>
      <c r="E343" t="s">
        <v>652</v>
      </c>
      <c r="F343" t="s">
        <v>357</v>
      </c>
      <c r="G343" s="1" t="s">
        <v>494</v>
      </c>
      <c r="I343" s="23">
        <v>7105065</v>
      </c>
      <c r="J343" s="11"/>
      <c r="K343" s="1" t="s">
        <v>1218</v>
      </c>
      <c r="L343" s="1" t="s">
        <v>502</v>
      </c>
    </row>
    <row r="344" spans="1:12" ht="30" x14ac:dyDescent="0.25">
      <c r="A344" t="s">
        <v>1219</v>
      </c>
      <c r="B344" t="s">
        <v>1202</v>
      </c>
      <c r="C344" t="s">
        <v>42</v>
      </c>
      <c r="D344" s="1" t="s">
        <v>484</v>
      </c>
      <c r="E344" t="s">
        <v>634</v>
      </c>
      <c r="F344" t="s">
        <v>355</v>
      </c>
      <c r="G344" s="1" t="s">
        <v>399</v>
      </c>
      <c r="I344" s="23">
        <v>7105052</v>
      </c>
      <c r="J344" s="11"/>
      <c r="K344" s="1" t="s">
        <v>1220</v>
      </c>
      <c r="L344" s="1" t="s">
        <v>484</v>
      </c>
    </row>
    <row r="345" spans="1:12" ht="45" x14ac:dyDescent="0.25">
      <c r="A345" t="s">
        <v>1221</v>
      </c>
      <c r="B345" t="s">
        <v>1202</v>
      </c>
      <c r="C345" t="s">
        <v>42</v>
      </c>
      <c r="D345" s="1" t="s">
        <v>484</v>
      </c>
      <c r="E345" t="s">
        <v>820</v>
      </c>
      <c r="F345" t="s">
        <v>355</v>
      </c>
      <c r="G345" s="1" t="s">
        <v>575</v>
      </c>
      <c r="I345" s="23">
        <v>7105053</v>
      </c>
      <c r="J345" s="11"/>
      <c r="K345" s="1" t="s">
        <v>1222</v>
      </c>
      <c r="L345" s="1" t="s">
        <v>484</v>
      </c>
    </row>
    <row r="346" spans="1:12" ht="30" x14ac:dyDescent="0.25">
      <c r="A346" t="s">
        <v>1223</v>
      </c>
      <c r="B346" t="s">
        <v>1202</v>
      </c>
      <c r="C346" t="s">
        <v>42</v>
      </c>
      <c r="D346" s="1" t="s">
        <v>484</v>
      </c>
      <c r="E346" t="s">
        <v>804</v>
      </c>
      <c r="F346" t="s">
        <v>357</v>
      </c>
      <c r="G346" s="1" t="s">
        <v>399</v>
      </c>
      <c r="I346" s="23">
        <v>7105066</v>
      </c>
      <c r="J346" s="11"/>
      <c r="K346" s="1" t="s">
        <v>1224</v>
      </c>
      <c r="L346" s="1" t="s">
        <v>484</v>
      </c>
    </row>
    <row r="347" spans="1:12" ht="30" x14ac:dyDescent="0.25">
      <c r="A347" t="s">
        <v>1225</v>
      </c>
      <c r="B347" t="s">
        <v>1202</v>
      </c>
      <c r="C347" t="s">
        <v>42</v>
      </c>
      <c r="D347" s="1" t="s">
        <v>484</v>
      </c>
      <c r="E347" t="s">
        <v>612</v>
      </c>
      <c r="F347" t="s">
        <v>357</v>
      </c>
      <c r="G347" s="1" t="s">
        <v>490</v>
      </c>
      <c r="I347" s="23">
        <v>7105067</v>
      </c>
      <c r="J347" s="11"/>
      <c r="K347" s="1" t="s">
        <v>1226</v>
      </c>
      <c r="L347" s="1" t="s">
        <v>484</v>
      </c>
    </row>
    <row r="348" spans="1:12" ht="15.75" x14ac:dyDescent="0.25">
      <c r="A348" t="s">
        <v>1227</v>
      </c>
      <c r="B348" t="s">
        <v>1202</v>
      </c>
      <c r="C348" t="s">
        <v>42</v>
      </c>
      <c r="D348" s="1" t="s">
        <v>488</v>
      </c>
      <c r="E348" t="s">
        <v>628</v>
      </c>
      <c r="F348" t="s">
        <v>355</v>
      </c>
      <c r="G348" s="1" t="s">
        <v>399</v>
      </c>
      <c r="I348" s="23">
        <v>7105054</v>
      </c>
      <c r="J348" s="11"/>
      <c r="K348" s="1" t="s">
        <v>1228</v>
      </c>
      <c r="L348" s="1" t="s">
        <v>488</v>
      </c>
    </row>
    <row r="349" spans="1:12" ht="30" x14ac:dyDescent="0.25">
      <c r="A349" t="s">
        <v>1229</v>
      </c>
      <c r="B349" t="s">
        <v>1202</v>
      </c>
      <c r="C349" t="s">
        <v>42</v>
      </c>
      <c r="D349" s="1" t="s">
        <v>488</v>
      </c>
      <c r="E349" t="s">
        <v>507</v>
      </c>
      <c r="F349" t="s">
        <v>355</v>
      </c>
      <c r="G349" s="1" t="s">
        <v>497</v>
      </c>
      <c r="I349" s="23">
        <v>7105055</v>
      </c>
      <c r="J349" s="11"/>
      <c r="K349" s="1" t="s">
        <v>1230</v>
      </c>
      <c r="L349" s="1" t="s">
        <v>488</v>
      </c>
    </row>
    <row r="350" spans="1:12" ht="15.75" x14ac:dyDescent="0.25">
      <c r="A350" t="s">
        <v>1231</v>
      </c>
      <c r="B350" t="s">
        <v>1202</v>
      </c>
      <c r="C350" t="s">
        <v>42</v>
      </c>
      <c r="D350" s="1" t="s">
        <v>488</v>
      </c>
      <c r="E350" t="s">
        <v>1132</v>
      </c>
      <c r="F350" t="s">
        <v>357</v>
      </c>
      <c r="G350" s="1" t="s">
        <v>494</v>
      </c>
      <c r="I350" s="23">
        <v>7105068</v>
      </c>
      <c r="J350" s="11"/>
      <c r="K350" s="1" t="s">
        <v>1232</v>
      </c>
      <c r="L350" s="1" t="s">
        <v>488</v>
      </c>
    </row>
    <row r="351" spans="1:12" ht="15.75" x14ac:dyDescent="0.25">
      <c r="A351" t="s">
        <v>1233</v>
      </c>
      <c r="B351" t="s">
        <v>1202</v>
      </c>
      <c r="C351" t="s">
        <v>42</v>
      </c>
      <c r="D351" s="1" t="s">
        <v>488</v>
      </c>
      <c r="E351" t="s">
        <v>1234</v>
      </c>
      <c r="F351" t="s">
        <v>357</v>
      </c>
      <c r="G351" s="1" t="s">
        <v>408</v>
      </c>
      <c r="I351" s="23">
        <v>7105069</v>
      </c>
      <c r="J351" s="11"/>
      <c r="K351" s="1" t="s">
        <v>1235</v>
      </c>
      <c r="L351" s="1" t="s">
        <v>488</v>
      </c>
    </row>
    <row r="352" spans="1:12" ht="30" x14ac:dyDescent="0.25">
      <c r="A352" t="s">
        <v>1236</v>
      </c>
      <c r="B352" t="s">
        <v>1202</v>
      </c>
      <c r="C352" t="s">
        <v>42</v>
      </c>
      <c r="D352" s="1" t="s">
        <v>492</v>
      </c>
      <c r="E352" t="s">
        <v>952</v>
      </c>
      <c r="F352" t="s">
        <v>355</v>
      </c>
      <c r="G352" s="1" t="s">
        <v>533</v>
      </c>
      <c r="I352" s="23">
        <v>7105056</v>
      </c>
      <c r="J352" s="11"/>
      <c r="K352" s="1" t="s">
        <v>1237</v>
      </c>
      <c r="L352" s="1" t="s">
        <v>492</v>
      </c>
    </row>
    <row r="353" spans="1:12" ht="15.75" x14ac:dyDescent="0.25">
      <c r="A353" t="s">
        <v>1238</v>
      </c>
      <c r="B353" t="s">
        <v>1202</v>
      </c>
      <c r="C353" t="s">
        <v>42</v>
      </c>
      <c r="D353" s="1" t="s">
        <v>492</v>
      </c>
      <c r="E353" t="s">
        <v>969</v>
      </c>
      <c r="F353" t="s">
        <v>355</v>
      </c>
      <c r="G353" s="1" t="s">
        <v>494</v>
      </c>
      <c r="I353" s="23">
        <v>7105057</v>
      </c>
      <c r="J353" s="11"/>
      <c r="K353" s="1" t="s">
        <v>1239</v>
      </c>
      <c r="L353" s="1" t="s">
        <v>492</v>
      </c>
    </row>
    <row r="354" spans="1:12" ht="15.75" x14ac:dyDescent="0.25">
      <c r="A354" t="s">
        <v>1240</v>
      </c>
      <c r="B354" t="s">
        <v>1202</v>
      </c>
      <c r="C354" t="s">
        <v>42</v>
      </c>
      <c r="D354" s="1" t="s">
        <v>492</v>
      </c>
      <c r="E354" t="s">
        <v>969</v>
      </c>
      <c r="F354" t="s">
        <v>355</v>
      </c>
      <c r="G354" s="1" t="s">
        <v>494</v>
      </c>
      <c r="I354" s="23">
        <v>7105058</v>
      </c>
      <c r="J354" s="11"/>
      <c r="K354" s="1" t="s">
        <v>1241</v>
      </c>
      <c r="L354" s="1" t="s">
        <v>492</v>
      </c>
    </row>
    <row r="355" spans="1:12" ht="15.75" x14ac:dyDescent="0.25">
      <c r="A355" t="s">
        <v>1242</v>
      </c>
      <c r="B355" t="s">
        <v>1202</v>
      </c>
      <c r="C355" t="s">
        <v>42</v>
      </c>
      <c r="D355" s="1" t="s">
        <v>492</v>
      </c>
      <c r="E355" t="s">
        <v>1147</v>
      </c>
      <c r="F355" t="s">
        <v>355</v>
      </c>
      <c r="G355" s="1" t="s">
        <v>494</v>
      </c>
      <c r="I355" s="23">
        <v>7105059</v>
      </c>
      <c r="J355" s="11"/>
      <c r="K355" s="1" t="s">
        <v>1243</v>
      </c>
      <c r="L355" s="1" t="s">
        <v>492</v>
      </c>
    </row>
    <row r="356" spans="1:12" ht="15.75" x14ac:dyDescent="0.25">
      <c r="A356" t="s">
        <v>1244</v>
      </c>
      <c r="B356" t="s">
        <v>1202</v>
      </c>
      <c r="C356" t="s">
        <v>42</v>
      </c>
      <c r="D356" s="1" t="s">
        <v>492</v>
      </c>
      <c r="E356" t="s">
        <v>1245</v>
      </c>
      <c r="F356" t="s">
        <v>357</v>
      </c>
      <c r="G356" s="1" t="s">
        <v>494</v>
      </c>
      <c r="I356" s="23">
        <v>7105070</v>
      </c>
      <c r="J356" s="11"/>
      <c r="K356" s="1" t="s">
        <v>1246</v>
      </c>
      <c r="L356" s="1" t="s">
        <v>492</v>
      </c>
    </row>
    <row r="357" spans="1:12" ht="15.75" x14ac:dyDescent="0.25">
      <c r="A357" t="s">
        <v>1247</v>
      </c>
      <c r="B357" t="s">
        <v>1202</v>
      </c>
      <c r="C357" t="s">
        <v>42</v>
      </c>
      <c r="D357" s="1" t="s">
        <v>492</v>
      </c>
      <c r="E357" t="s">
        <v>615</v>
      </c>
      <c r="F357" t="s">
        <v>357</v>
      </c>
      <c r="G357" s="1" t="s">
        <v>494</v>
      </c>
      <c r="I357" s="23">
        <v>7105071</v>
      </c>
      <c r="J357" s="11"/>
      <c r="K357" s="1" t="s">
        <v>1248</v>
      </c>
      <c r="L357" s="1" t="s">
        <v>492</v>
      </c>
    </row>
    <row r="358" spans="1:12" ht="45" x14ac:dyDescent="0.25">
      <c r="A358" t="s">
        <v>1249</v>
      </c>
      <c r="B358" t="s">
        <v>1202</v>
      </c>
      <c r="C358" t="s">
        <v>42</v>
      </c>
      <c r="D358" s="1" t="s">
        <v>492</v>
      </c>
      <c r="E358" t="s">
        <v>1147</v>
      </c>
      <c r="F358" t="s">
        <v>357</v>
      </c>
      <c r="G358" s="1" t="s">
        <v>575</v>
      </c>
      <c r="I358" s="23">
        <v>7105072</v>
      </c>
      <c r="J358" s="11"/>
      <c r="K358" s="1" t="s">
        <v>1250</v>
      </c>
      <c r="L358" s="1" t="s">
        <v>492</v>
      </c>
    </row>
    <row r="359" spans="1:12" ht="15.75" x14ac:dyDescent="0.25">
      <c r="A359" t="s">
        <v>1251</v>
      </c>
      <c r="B359" t="s">
        <v>1202</v>
      </c>
      <c r="C359" t="s">
        <v>42</v>
      </c>
      <c r="D359" s="1" t="s">
        <v>428</v>
      </c>
      <c r="E359" t="s">
        <v>1177</v>
      </c>
      <c r="F359" t="s">
        <v>355</v>
      </c>
      <c r="G359" s="1" t="s">
        <v>494</v>
      </c>
      <c r="I359" s="23">
        <v>7105060</v>
      </c>
      <c r="J359" s="11"/>
      <c r="K359" s="1" t="s">
        <v>1252</v>
      </c>
      <c r="L359" s="1" t="s">
        <v>428</v>
      </c>
    </row>
    <row r="360" spans="1:12" ht="15.75" x14ac:dyDescent="0.25">
      <c r="A360" t="s">
        <v>1253</v>
      </c>
      <c r="B360" t="s">
        <v>1202</v>
      </c>
      <c r="C360" t="s">
        <v>42</v>
      </c>
      <c r="D360" s="1" t="s">
        <v>428</v>
      </c>
      <c r="E360" t="s">
        <v>691</v>
      </c>
      <c r="F360" t="s">
        <v>355</v>
      </c>
      <c r="G360" s="1" t="s">
        <v>494</v>
      </c>
      <c r="I360" s="23">
        <v>7105061</v>
      </c>
      <c r="J360" s="11"/>
      <c r="K360" s="1" t="s">
        <v>1254</v>
      </c>
      <c r="L360" s="1" t="s">
        <v>428</v>
      </c>
    </row>
    <row r="361" spans="1:12" ht="15.75" x14ac:dyDescent="0.25">
      <c r="A361" t="s">
        <v>1255</v>
      </c>
      <c r="B361" t="s">
        <v>1202</v>
      </c>
      <c r="C361" t="s">
        <v>42</v>
      </c>
      <c r="D361" s="1" t="s">
        <v>428</v>
      </c>
      <c r="E361" t="s">
        <v>1256</v>
      </c>
      <c r="F361" t="s">
        <v>357</v>
      </c>
      <c r="G361" s="1" t="s">
        <v>494</v>
      </c>
      <c r="I361" s="23">
        <v>7105073</v>
      </c>
      <c r="J361" s="11"/>
      <c r="K361" s="1" t="s">
        <v>1257</v>
      </c>
      <c r="L361" s="1" t="s">
        <v>428</v>
      </c>
    </row>
    <row r="362" spans="1:12" ht="15.75" x14ac:dyDescent="0.25">
      <c r="A362" t="s">
        <v>1258</v>
      </c>
      <c r="B362" t="s">
        <v>1202</v>
      </c>
      <c r="C362" t="s">
        <v>42</v>
      </c>
      <c r="D362" s="1" t="s">
        <v>428</v>
      </c>
      <c r="E362" t="s">
        <v>1021</v>
      </c>
      <c r="F362" t="s">
        <v>357</v>
      </c>
      <c r="G362" s="1" t="s">
        <v>494</v>
      </c>
      <c r="I362" s="23">
        <v>7105074</v>
      </c>
      <c r="J362" s="11"/>
      <c r="K362" s="1" t="s">
        <v>1259</v>
      </c>
      <c r="L362" s="1" t="s">
        <v>428</v>
      </c>
    </row>
    <row r="363" spans="1:12" ht="15.75" x14ac:dyDescent="0.25">
      <c r="A363" t="s">
        <v>1260</v>
      </c>
      <c r="B363" t="s">
        <v>1202</v>
      </c>
      <c r="C363" t="s">
        <v>42</v>
      </c>
      <c r="D363" s="1" t="s">
        <v>531</v>
      </c>
      <c r="E363" t="s">
        <v>1261</v>
      </c>
      <c r="F363" t="s">
        <v>355</v>
      </c>
      <c r="G363" s="1" t="s">
        <v>494</v>
      </c>
      <c r="I363" s="23">
        <v>7105062</v>
      </c>
      <c r="J363" s="11"/>
      <c r="K363" s="1" t="s">
        <v>1262</v>
      </c>
      <c r="L363" s="1" t="s">
        <v>531</v>
      </c>
    </row>
    <row r="364" spans="1:12" ht="15.75" x14ac:dyDescent="0.25">
      <c r="A364" t="s">
        <v>1263</v>
      </c>
      <c r="B364" t="s">
        <v>1202</v>
      </c>
      <c r="C364" t="s">
        <v>42</v>
      </c>
      <c r="D364" s="1" t="s">
        <v>531</v>
      </c>
      <c r="E364" t="s">
        <v>659</v>
      </c>
      <c r="F364" t="s">
        <v>357</v>
      </c>
      <c r="G364" s="1" t="s">
        <v>494</v>
      </c>
      <c r="I364" s="23">
        <v>7105075</v>
      </c>
      <c r="J364" s="11"/>
      <c r="K364" s="1" t="s">
        <v>1264</v>
      </c>
      <c r="L364" s="1" t="s">
        <v>531</v>
      </c>
    </row>
    <row r="365" spans="1:12" ht="15.75" x14ac:dyDescent="0.25">
      <c r="A365" t="s">
        <v>1265</v>
      </c>
      <c r="B365" t="s">
        <v>1202</v>
      </c>
      <c r="C365" t="s">
        <v>42</v>
      </c>
      <c r="D365" s="1" t="s">
        <v>531</v>
      </c>
      <c r="E365" t="s">
        <v>1077</v>
      </c>
      <c r="F365" t="s">
        <v>357</v>
      </c>
      <c r="G365" s="1" t="s">
        <v>494</v>
      </c>
      <c r="I365" s="23">
        <v>7105076</v>
      </c>
      <c r="J365" s="11"/>
      <c r="K365" s="1" t="s">
        <v>1266</v>
      </c>
      <c r="L365" s="1" t="s">
        <v>624</v>
      </c>
    </row>
    <row r="366" spans="1:12" ht="15.75" x14ac:dyDescent="0.25">
      <c r="A366" t="s">
        <v>1454</v>
      </c>
      <c r="B366" t="s">
        <v>1267</v>
      </c>
      <c r="C366" t="s">
        <v>43</v>
      </c>
      <c r="D366" s="1" t="s">
        <v>62</v>
      </c>
      <c r="E366" s="1" t="s">
        <v>62</v>
      </c>
      <c r="F366" t="s">
        <v>359</v>
      </c>
      <c r="G366" s="1" t="s">
        <v>293</v>
      </c>
      <c r="I366" s="23">
        <v>7106001</v>
      </c>
      <c r="L366" s="1" t="s">
        <v>1268</v>
      </c>
    </row>
    <row r="367" spans="1:12" ht="15.75" x14ac:dyDescent="0.25">
      <c r="A367" t="s">
        <v>1455</v>
      </c>
      <c r="B367" t="s">
        <v>1267</v>
      </c>
      <c r="C367" t="s">
        <v>43</v>
      </c>
      <c r="D367" s="1" t="s">
        <v>62</v>
      </c>
      <c r="E367" s="1" t="s">
        <v>62</v>
      </c>
      <c r="F367" t="s">
        <v>361</v>
      </c>
      <c r="G367" s="1" t="s">
        <v>296</v>
      </c>
      <c r="I367" s="23">
        <v>7106002</v>
      </c>
      <c r="L367" s="1" t="s">
        <v>1268</v>
      </c>
    </row>
    <row r="368" spans="1:12" ht="30" x14ac:dyDescent="0.25">
      <c r="A368" t="s">
        <v>1456</v>
      </c>
      <c r="B368" t="s">
        <v>1267</v>
      </c>
      <c r="C368" t="s">
        <v>43</v>
      </c>
      <c r="D368" s="1" t="s">
        <v>62</v>
      </c>
      <c r="E368" s="1" t="s">
        <v>62</v>
      </c>
      <c r="F368" t="s">
        <v>361</v>
      </c>
      <c r="G368" s="1" t="s">
        <v>1588</v>
      </c>
      <c r="I368" s="23">
        <v>7106003</v>
      </c>
      <c r="L368" s="1" t="s">
        <v>1268</v>
      </c>
    </row>
    <row r="369" spans="1:12" ht="15.75" x14ac:dyDescent="0.25">
      <c r="A369" t="s">
        <v>1457</v>
      </c>
      <c r="B369" t="s">
        <v>1267</v>
      </c>
      <c r="C369" t="s">
        <v>43</v>
      </c>
      <c r="D369" s="1" t="s">
        <v>62</v>
      </c>
      <c r="E369" s="1" t="s">
        <v>62</v>
      </c>
      <c r="F369" t="s">
        <v>361</v>
      </c>
      <c r="G369" s="1" t="s">
        <v>296</v>
      </c>
      <c r="I369" s="23">
        <v>7106004</v>
      </c>
      <c r="L369" s="1" t="s">
        <v>1268</v>
      </c>
    </row>
    <row r="370" spans="1:12" ht="30" x14ac:dyDescent="0.25">
      <c r="A370" t="s">
        <v>1458</v>
      </c>
      <c r="B370" t="s">
        <v>1267</v>
      </c>
      <c r="C370" t="s">
        <v>43</v>
      </c>
      <c r="D370" s="1" t="s">
        <v>62</v>
      </c>
      <c r="E370" s="1" t="s">
        <v>62</v>
      </c>
      <c r="F370" t="s">
        <v>363</v>
      </c>
      <c r="G370" s="1" t="s">
        <v>1589</v>
      </c>
      <c r="I370" s="23">
        <v>7106005</v>
      </c>
      <c r="L370" s="1" t="s">
        <v>1268</v>
      </c>
    </row>
    <row r="371" spans="1:12" ht="15.75" x14ac:dyDescent="0.25">
      <c r="A371" t="s">
        <v>1459</v>
      </c>
      <c r="B371" t="s">
        <v>1267</v>
      </c>
      <c r="C371" t="s">
        <v>43</v>
      </c>
      <c r="D371" s="1" t="s">
        <v>62</v>
      </c>
      <c r="E371" s="1" t="s">
        <v>62</v>
      </c>
      <c r="F371" t="s">
        <v>363</v>
      </c>
      <c r="G371" s="1" t="s">
        <v>301</v>
      </c>
      <c r="I371" s="23">
        <v>7106006</v>
      </c>
      <c r="L371" s="1" t="s">
        <v>1268</v>
      </c>
    </row>
    <row r="372" spans="1:12" ht="30" x14ac:dyDescent="0.25">
      <c r="A372" t="s">
        <v>1460</v>
      </c>
      <c r="B372" t="s">
        <v>1267</v>
      </c>
      <c r="C372" t="s">
        <v>43</v>
      </c>
      <c r="D372" s="1" t="s">
        <v>62</v>
      </c>
      <c r="E372" s="1" t="s">
        <v>62</v>
      </c>
      <c r="F372" t="s">
        <v>363</v>
      </c>
      <c r="G372" s="1" t="s">
        <v>1590</v>
      </c>
      <c r="I372" s="23">
        <v>7106007</v>
      </c>
      <c r="L372" s="1" t="s">
        <v>1268</v>
      </c>
    </row>
    <row r="373" spans="1:12" ht="15.75" x14ac:dyDescent="0.25">
      <c r="A373" t="s">
        <v>1461</v>
      </c>
      <c r="B373" t="s">
        <v>1267</v>
      </c>
      <c r="C373" t="s">
        <v>43</v>
      </c>
      <c r="D373" s="1" t="s">
        <v>62</v>
      </c>
      <c r="E373" s="1" t="s">
        <v>62</v>
      </c>
      <c r="F373" t="s">
        <v>364</v>
      </c>
      <c r="G373" s="1" t="s">
        <v>1591</v>
      </c>
      <c r="I373" s="23">
        <v>7106008</v>
      </c>
      <c r="L373" s="1" t="s">
        <v>1268</v>
      </c>
    </row>
    <row r="374" spans="1:12" ht="30" x14ac:dyDescent="0.25">
      <c r="A374" t="s">
        <v>1462</v>
      </c>
      <c r="B374" t="s">
        <v>1267</v>
      </c>
      <c r="C374" t="s">
        <v>43</v>
      </c>
      <c r="D374" s="1" t="s">
        <v>62</v>
      </c>
      <c r="E374" s="1" t="s">
        <v>62</v>
      </c>
      <c r="F374" t="s">
        <v>364</v>
      </c>
      <c r="G374" s="1" t="s">
        <v>1592</v>
      </c>
      <c r="I374" s="23">
        <v>7106009</v>
      </c>
      <c r="L374" s="1" t="s">
        <v>1268</v>
      </c>
    </row>
    <row r="375" spans="1:12" ht="15.75" x14ac:dyDescent="0.25">
      <c r="A375" t="s">
        <v>1463</v>
      </c>
      <c r="B375" t="s">
        <v>1267</v>
      </c>
      <c r="C375" t="s">
        <v>43</v>
      </c>
      <c r="D375" s="1" t="s">
        <v>62</v>
      </c>
      <c r="E375" s="1" t="s">
        <v>62</v>
      </c>
      <c r="F375" t="s">
        <v>364</v>
      </c>
      <c r="G375" s="1" t="s">
        <v>303</v>
      </c>
      <c r="I375" s="23">
        <v>7106010</v>
      </c>
      <c r="L375" s="1" t="s">
        <v>1268</v>
      </c>
    </row>
    <row r="376" spans="1:12" ht="15.75" x14ac:dyDescent="0.25">
      <c r="A376" t="s">
        <v>1464</v>
      </c>
      <c r="B376" t="s">
        <v>1267</v>
      </c>
      <c r="C376" t="s">
        <v>43</v>
      </c>
      <c r="D376" s="1" t="s">
        <v>62</v>
      </c>
      <c r="E376" s="1" t="s">
        <v>62</v>
      </c>
      <c r="F376" t="s">
        <v>366</v>
      </c>
      <c r="G376" s="1" t="s">
        <v>307</v>
      </c>
      <c r="I376" s="23">
        <v>7106011</v>
      </c>
      <c r="L376" s="1" t="s">
        <v>1268</v>
      </c>
    </row>
    <row r="377" spans="1:12" ht="15.75" x14ac:dyDescent="0.25">
      <c r="A377" t="s">
        <v>1465</v>
      </c>
      <c r="B377" t="s">
        <v>1267</v>
      </c>
      <c r="C377" t="s">
        <v>43</v>
      </c>
      <c r="D377" s="1" t="s">
        <v>62</v>
      </c>
      <c r="E377" s="1" t="s">
        <v>62</v>
      </c>
      <c r="F377" t="s">
        <v>366</v>
      </c>
      <c r="G377" s="1" t="s">
        <v>307</v>
      </c>
      <c r="I377" s="23">
        <v>7106012</v>
      </c>
      <c r="L377" s="1" t="s">
        <v>1268</v>
      </c>
    </row>
    <row r="378" spans="1:12" ht="15.75" x14ac:dyDescent="0.25">
      <c r="A378" t="s">
        <v>1466</v>
      </c>
      <c r="B378" t="s">
        <v>1267</v>
      </c>
      <c r="C378" t="s">
        <v>43</v>
      </c>
      <c r="D378" s="1" t="s">
        <v>62</v>
      </c>
      <c r="E378" s="1" t="s">
        <v>62</v>
      </c>
      <c r="F378" t="s">
        <v>367</v>
      </c>
      <c r="G378" s="1" t="s">
        <v>310</v>
      </c>
      <c r="I378" s="23">
        <v>7106013</v>
      </c>
      <c r="L378" s="1" t="s">
        <v>1268</v>
      </c>
    </row>
    <row r="379" spans="1:12" ht="15.75" x14ac:dyDescent="0.25">
      <c r="A379" t="s">
        <v>1467</v>
      </c>
      <c r="B379" t="s">
        <v>1267</v>
      </c>
      <c r="C379" t="s">
        <v>43</v>
      </c>
      <c r="D379" s="1" t="s">
        <v>62</v>
      </c>
      <c r="E379" s="1" t="s">
        <v>62</v>
      </c>
      <c r="F379" t="s">
        <v>367</v>
      </c>
      <c r="G379" s="1" t="s">
        <v>310</v>
      </c>
      <c r="I379" s="23">
        <v>7106014</v>
      </c>
      <c r="L379" s="1" t="s">
        <v>1268</v>
      </c>
    </row>
    <row r="380" spans="1:12" ht="15.75" x14ac:dyDescent="0.25">
      <c r="A380" t="s">
        <v>1468</v>
      </c>
      <c r="B380" t="s">
        <v>1267</v>
      </c>
      <c r="C380" t="s">
        <v>43</v>
      </c>
      <c r="D380" s="1" t="s">
        <v>62</v>
      </c>
      <c r="E380" s="1" t="s">
        <v>62</v>
      </c>
      <c r="F380" t="s">
        <v>367</v>
      </c>
      <c r="G380" s="1" t="s">
        <v>1593</v>
      </c>
      <c r="I380" s="23">
        <v>7106015</v>
      </c>
      <c r="L380" s="1" t="s">
        <v>1268</v>
      </c>
    </row>
    <row r="381" spans="1:12" ht="15.75" x14ac:dyDescent="0.25">
      <c r="A381" t="s">
        <v>1469</v>
      </c>
      <c r="B381" t="s">
        <v>1267</v>
      </c>
      <c r="C381" t="s">
        <v>43</v>
      </c>
      <c r="D381" s="1" t="s">
        <v>62</v>
      </c>
      <c r="E381" s="1" t="s">
        <v>62</v>
      </c>
      <c r="F381" t="s">
        <v>369</v>
      </c>
      <c r="G381" s="1" t="s">
        <v>314</v>
      </c>
      <c r="I381" s="23">
        <v>7106016</v>
      </c>
      <c r="L381" s="1" t="s">
        <v>1268</v>
      </c>
    </row>
    <row r="382" spans="1:12" ht="15.75" x14ac:dyDescent="0.25">
      <c r="A382" t="s">
        <v>1470</v>
      </c>
      <c r="B382" t="s">
        <v>1267</v>
      </c>
      <c r="C382" t="s">
        <v>43</v>
      </c>
      <c r="D382" s="1" t="s">
        <v>62</v>
      </c>
      <c r="E382" s="1" t="s">
        <v>62</v>
      </c>
      <c r="F382" t="s">
        <v>369</v>
      </c>
      <c r="G382" s="1" t="s">
        <v>314</v>
      </c>
      <c r="I382" s="23">
        <v>7106017</v>
      </c>
      <c r="L382" s="1" t="s">
        <v>1268</v>
      </c>
    </row>
    <row r="383" spans="1:12" ht="30" x14ac:dyDescent="0.25">
      <c r="A383" t="s">
        <v>1471</v>
      </c>
      <c r="B383" t="s">
        <v>1267</v>
      </c>
      <c r="C383" t="s">
        <v>43</v>
      </c>
      <c r="D383" s="1" t="s">
        <v>62</v>
      </c>
      <c r="E383" s="1" t="s">
        <v>62</v>
      </c>
      <c r="F383" t="s">
        <v>369</v>
      </c>
      <c r="G383" s="1" t="s">
        <v>1594</v>
      </c>
      <c r="I383" s="23">
        <v>7106018</v>
      </c>
      <c r="L383" s="1" t="s">
        <v>1268</v>
      </c>
    </row>
    <row r="384" spans="1:12" ht="15.75" x14ac:dyDescent="0.25">
      <c r="A384" t="s">
        <v>1580</v>
      </c>
      <c r="B384" t="s">
        <v>1267</v>
      </c>
      <c r="C384" t="s">
        <v>43</v>
      </c>
      <c r="D384" s="1" t="s">
        <v>62</v>
      </c>
      <c r="E384" s="1" t="s">
        <v>62</v>
      </c>
      <c r="F384" t="s">
        <v>371</v>
      </c>
      <c r="G384" s="1" t="s">
        <v>318</v>
      </c>
      <c r="I384" s="23">
        <v>7106019</v>
      </c>
      <c r="L384" s="1" t="s">
        <v>1268</v>
      </c>
    </row>
    <row r="385" spans="1:12" ht="45" x14ac:dyDescent="0.25">
      <c r="A385" t="s">
        <v>1581</v>
      </c>
      <c r="B385" t="s">
        <v>1267</v>
      </c>
      <c r="C385" t="s">
        <v>43</v>
      </c>
      <c r="D385" s="1" t="s">
        <v>62</v>
      </c>
      <c r="E385" s="1" t="s">
        <v>62</v>
      </c>
      <c r="F385" t="s">
        <v>371</v>
      </c>
      <c r="G385" s="1" t="s">
        <v>1595</v>
      </c>
      <c r="I385" s="23">
        <v>7106020</v>
      </c>
      <c r="L385" s="1" t="s">
        <v>1268</v>
      </c>
    </row>
    <row r="386" spans="1:12" ht="15.75" x14ac:dyDescent="0.25">
      <c r="A386" t="s">
        <v>1582</v>
      </c>
      <c r="B386" t="s">
        <v>1267</v>
      </c>
      <c r="C386" t="s">
        <v>43</v>
      </c>
      <c r="D386" s="1" t="s">
        <v>62</v>
      </c>
      <c r="E386" s="1" t="s">
        <v>62</v>
      </c>
      <c r="F386" t="s">
        <v>371</v>
      </c>
      <c r="G386" s="1" t="s">
        <v>318</v>
      </c>
      <c r="I386" s="23">
        <v>7106021</v>
      </c>
      <c r="L386" s="1" t="s">
        <v>1268</v>
      </c>
    </row>
    <row r="387" spans="1:12" ht="30" x14ac:dyDescent="0.25">
      <c r="A387" t="s">
        <v>1472</v>
      </c>
      <c r="B387" t="s">
        <v>1267</v>
      </c>
      <c r="C387" t="s">
        <v>43</v>
      </c>
      <c r="D387" s="1" t="s">
        <v>62</v>
      </c>
      <c r="E387" s="1" t="s">
        <v>62</v>
      </c>
      <c r="F387" t="s">
        <v>372</v>
      </c>
      <c r="G387" s="1" t="s">
        <v>1596</v>
      </c>
      <c r="I387" s="23">
        <v>7106022</v>
      </c>
      <c r="L387" s="1" t="s">
        <v>1268</v>
      </c>
    </row>
    <row r="388" spans="1:12" ht="15.75" x14ac:dyDescent="0.25">
      <c r="A388" t="s">
        <v>1473</v>
      </c>
      <c r="B388" t="s">
        <v>1267</v>
      </c>
      <c r="C388" t="s">
        <v>43</v>
      </c>
      <c r="D388" s="1" t="s">
        <v>62</v>
      </c>
      <c r="E388" s="1" t="s">
        <v>62</v>
      </c>
      <c r="F388" t="s">
        <v>372</v>
      </c>
      <c r="G388" s="1" t="s">
        <v>320</v>
      </c>
      <c r="I388" s="23">
        <v>7106023</v>
      </c>
      <c r="L388" s="1" t="s">
        <v>1268</v>
      </c>
    </row>
    <row r="389" spans="1:12" ht="15.75" x14ac:dyDescent="0.25">
      <c r="A389" t="s">
        <v>1474</v>
      </c>
      <c r="B389" t="s">
        <v>1267</v>
      </c>
      <c r="C389" t="s">
        <v>43</v>
      </c>
      <c r="D389" s="1" t="s">
        <v>62</v>
      </c>
      <c r="E389" s="1" t="s">
        <v>62</v>
      </c>
      <c r="F389" t="s">
        <v>372</v>
      </c>
      <c r="G389" s="1" t="s">
        <v>320</v>
      </c>
      <c r="I389" s="23">
        <v>7106024</v>
      </c>
      <c r="L389" s="1" t="s">
        <v>1268</v>
      </c>
    </row>
    <row r="390" spans="1:12" ht="15.75" x14ac:dyDescent="0.25">
      <c r="A390" t="s">
        <v>1475</v>
      </c>
      <c r="B390" t="s">
        <v>1267</v>
      </c>
      <c r="C390" t="s">
        <v>43</v>
      </c>
      <c r="D390" s="1" t="s">
        <v>62</v>
      </c>
      <c r="E390" s="1" t="s">
        <v>62</v>
      </c>
      <c r="F390" t="s">
        <v>374</v>
      </c>
      <c r="G390" s="1" t="s">
        <v>324</v>
      </c>
      <c r="I390" s="23">
        <v>7106025</v>
      </c>
      <c r="L390" s="1" t="s">
        <v>1268</v>
      </c>
    </row>
    <row r="391" spans="1:12" ht="15.75" x14ac:dyDescent="0.25">
      <c r="A391" t="s">
        <v>1476</v>
      </c>
      <c r="B391" t="s">
        <v>1267</v>
      </c>
      <c r="C391" t="s">
        <v>43</v>
      </c>
      <c r="D391" s="1" t="s">
        <v>62</v>
      </c>
      <c r="E391" s="1" t="s">
        <v>62</v>
      </c>
      <c r="F391" t="s">
        <v>374</v>
      </c>
      <c r="G391" s="1" t="s">
        <v>324</v>
      </c>
      <c r="I391" s="23">
        <v>7106026</v>
      </c>
      <c r="L391" s="1" t="s">
        <v>1268</v>
      </c>
    </row>
    <row r="392" spans="1:12" ht="15.75" x14ac:dyDescent="0.25">
      <c r="A392" t="s">
        <v>1477</v>
      </c>
      <c r="B392" t="s">
        <v>1267</v>
      </c>
      <c r="C392" t="s">
        <v>43</v>
      </c>
      <c r="D392" s="1" t="s">
        <v>62</v>
      </c>
      <c r="E392" s="1" t="s">
        <v>62</v>
      </c>
      <c r="F392" t="s">
        <v>374</v>
      </c>
      <c r="G392" s="1" t="s">
        <v>324</v>
      </c>
      <c r="I392" s="23">
        <v>7106027</v>
      </c>
      <c r="L392" s="1" t="s">
        <v>1268</v>
      </c>
    </row>
    <row r="393" spans="1:12" ht="15.75" x14ac:dyDescent="0.25">
      <c r="A393" t="s">
        <v>1478</v>
      </c>
      <c r="B393" t="s">
        <v>1267</v>
      </c>
      <c r="C393" t="s">
        <v>43</v>
      </c>
      <c r="D393" s="1" t="s">
        <v>62</v>
      </c>
      <c r="E393" s="1" t="s">
        <v>62</v>
      </c>
      <c r="F393" t="s">
        <v>376</v>
      </c>
      <c r="G393" s="1" t="s">
        <v>327</v>
      </c>
      <c r="I393" s="23">
        <v>7106028</v>
      </c>
      <c r="L393" s="1" t="s">
        <v>1268</v>
      </c>
    </row>
    <row r="394" spans="1:12" ht="15.75" x14ac:dyDescent="0.25">
      <c r="A394" t="s">
        <v>1479</v>
      </c>
      <c r="B394" t="s">
        <v>1267</v>
      </c>
      <c r="C394" t="s">
        <v>43</v>
      </c>
      <c r="D394" s="1" t="s">
        <v>62</v>
      </c>
      <c r="E394" s="1" t="s">
        <v>62</v>
      </c>
      <c r="F394" t="s">
        <v>376</v>
      </c>
      <c r="G394" s="1" t="s">
        <v>327</v>
      </c>
      <c r="I394" s="23">
        <v>7106029</v>
      </c>
      <c r="L394" s="1" t="s">
        <v>1268</v>
      </c>
    </row>
    <row r="395" spans="1:12" ht="15.75" x14ac:dyDescent="0.25">
      <c r="A395" t="s">
        <v>1480</v>
      </c>
      <c r="B395" t="s">
        <v>1267</v>
      </c>
      <c r="C395" t="s">
        <v>43</v>
      </c>
      <c r="D395" s="1" t="s">
        <v>62</v>
      </c>
      <c r="E395" s="1" t="s">
        <v>62</v>
      </c>
      <c r="F395" t="s">
        <v>378</v>
      </c>
      <c r="G395" s="1" t="s">
        <v>331</v>
      </c>
      <c r="I395" s="23">
        <v>7106030</v>
      </c>
      <c r="L395" s="1" t="s">
        <v>1268</v>
      </c>
    </row>
    <row r="396" spans="1:12" ht="30" x14ac:dyDescent="0.25">
      <c r="A396" t="s">
        <v>1481</v>
      </c>
      <c r="B396" t="s">
        <v>1267</v>
      </c>
      <c r="C396" t="s">
        <v>43</v>
      </c>
      <c r="D396" s="1" t="s">
        <v>62</v>
      </c>
      <c r="E396" s="1" t="s">
        <v>62</v>
      </c>
      <c r="F396" t="s">
        <v>378</v>
      </c>
      <c r="G396" s="1" t="s">
        <v>1597</v>
      </c>
      <c r="I396" s="23">
        <v>7106031</v>
      </c>
      <c r="L396" s="1" t="s">
        <v>1268</v>
      </c>
    </row>
    <row r="397" spans="1:12" ht="15.75" x14ac:dyDescent="0.25">
      <c r="A397" t="s">
        <v>1482</v>
      </c>
      <c r="B397" t="s">
        <v>1267</v>
      </c>
      <c r="C397" t="s">
        <v>43</v>
      </c>
      <c r="D397" s="1" t="s">
        <v>62</v>
      </c>
      <c r="E397" s="1" t="s">
        <v>62</v>
      </c>
      <c r="F397" t="s">
        <v>379</v>
      </c>
      <c r="G397" s="1" t="s">
        <v>334</v>
      </c>
      <c r="I397" s="23">
        <v>7106032</v>
      </c>
      <c r="L397" s="1" t="s">
        <v>1268</v>
      </c>
    </row>
    <row r="398" spans="1:12" ht="30" x14ac:dyDescent="0.25">
      <c r="A398" t="s">
        <v>1483</v>
      </c>
      <c r="B398" t="s">
        <v>1267</v>
      </c>
      <c r="C398" t="s">
        <v>43</v>
      </c>
      <c r="D398" s="1" t="s">
        <v>62</v>
      </c>
      <c r="E398" s="1" t="s">
        <v>62</v>
      </c>
      <c r="F398" t="s">
        <v>379</v>
      </c>
      <c r="G398" s="1" t="s">
        <v>1598</v>
      </c>
      <c r="I398" s="23">
        <v>7106033</v>
      </c>
      <c r="L398" s="1" t="s">
        <v>1268</v>
      </c>
    </row>
    <row r="399" spans="1:12" ht="15.75" x14ac:dyDescent="0.25">
      <c r="A399" t="s">
        <v>1484</v>
      </c>
      <c r="B399" t="s">
        <v>1267</v>
      </c>
      <c r="C399" t="s">
        <v>43</v>
      </c>
      <c r="D399" s="1" t="s">
        <v>62</v>
      </c>
      <c r="E399" s="1" t="s">
        <v>62</v>
      </c>
      <c r="F399" t="s">
        <v>379</v>
      </c>
      <c r="G399" s="1" t="s">
        <v>334</v>
      </c>
      <c r="I399" s="23">
        <v>7106034</v>
      </c>
      <c r="L399" s="1" t="s">
        <v>1268</v>
      </c>
    </row>
    <row r="400" spans="1:12" ht="15.75" x14ac:dyDescent="0.25">
      <c r="A400" t="s">
        <v>1485</v>
      </c>
      <c r="B400" t="s">
        <v>1267</v>
      </c>
      <c r="C400" t="s">
        <v>43</v>
      </c>
      <c r="D400" s="1" t="s">
        <v>62</v>
      </c>
      <c r="E400" s="1" t="s">
        <v>62</v>
      </c>
      <c r="F400" t="s">
        <v>381</v>
      </c>
      <c r="G400" s="1" t="s">
        <v>338</v>
      </c>
      <c r="I400" s="23">
        <v>7106035</v>
      </c>
      <c r="L400" s="1" t="s">
        <v>1268</v>
      </c>
    </row>
    <row r="401" spans="1:12" ht="15.75" x14ac:dyDescent="0.25">
      <c r="A401" t="s">
        <v>1486</v>
      </c>
      <c r="B401" t="s">
        <v>1267</v>
      </c>
      <c r="C401" t="s">
        <v>43</v>
      </c>
      <c r="D401" s="1" t="s">
        <v>62</v>
      </c>
      <c r="E401" s="1" t="s">
        <v>62</v>
      </c>
      <c r="F401" t="s">
        <v>381</v>
      </c>
      <c r="G401" s="1" t="s">
        <v>338</v>
      </c>
      <c r="I401" s="23">
        <v>7106036</v>
      </c>
      <c r="L401" s="1" t="s">
        <v>1268</v>
      </c>
    </row>
    <row r="402" spans="1:12" ht="15.75" x14ac:dyDescent="0.25">
      <c r="A402" t="s">
        <v>1487</v>
      </c>
      <c r="B402" t="s">
        <v>1267</v>
      </c>
      <c r="C402" t="s">
        <v>43</v>
      </c>
      <c r="D402" s="1" t="s">
        <v>62</v>
      </c>
      <c r="E402" s="1" t="s">
        <v>62</v>
      </c>
      <c r="F402" t="s">
        <v>381</v>
      </c>
      <c r="G402" s="1" t="s">
        <v>338</v>
      </c>
      <c r="I402" s="23">
        <v>7106037</v>
      </c>
      <c r="L402" s="1" t="s">
        <v>1268</v>
      </c>
    </row>
    <row r="403" spans="1:12" ht="15.75" x14ac:dyDescent="0.25">
      <c r="A403" t="s">
        <v>1488</v>
      </c>
      <c r="B403" t="s">
        <v>1267</v>
      </c>
      <c r="C403" t="s">
        <v>43</v>
      </c>
      <c r="D403" s="1" t="s">
        <v>62</v>
      </c>
      <c r="E403" s="1" t="s">
        <v>62</v>
      </c>
      <c r="F403" t="s">
        <v>382</v>
      </c>
      <c r="G403" s="1" t="s">
        <v>341</v>
      </c>
      <c r="I403" s="23">
        <v>7106038</v>
      </c>
      <c r="L403" s="1" t="s">
        <v>1268</v>
      </c>
    </row>
    <row r="404" spans="1:12" ht="15.75" x14ac:dyDescent="0.25">
      <c r="A404" t="s">
        <v>1489</v>
      </c>
      <c r="B404" t="s">
        <v>1267</v>
      </c>
      <c r="C404" t="s">
        <v>43</v>
      </c>
      <c r="D404" s="1" t="s">
        <v>62</v>
      </c>
      <c r="E404" s="1" t="s">
        <v>62</v>
      </c>
      <c r="F404" t="s">
        <v>382</v>
      </c>
      <c r="G404" s="1" t="s">
        <v>341</v>
      </c>
      <c r="I404" s="23">
        <v>7106039</v>
      </c>
      <c r="L404" s="1" t="s">
        <v>1268</v>
      </c>
    </row>
    <row r="405" spans="1:12" ht="30" x14ac:dyDescent="0.25">
      <c r="A405" t="s">
        <v>1490</v>
      </c>
      <c r="B405" t="s">
        <v>1267</v>
      </c>
      <c r="C405" t="s">
        <v>43</v>
      </c>
      <c r="D405" s="1" t="s">
        <v>62</v>
      </c>
      <c r="E405" s="1" t="s">
        <v>62</v>
      </c>
      <c r="F405" t="s">
        <v>382</v>
      </c>
      <c r="G405" s="1" t="s">
        <v>1599</v>
      </c>
      <c r="I405" s="23">
        <v>7106040</v>
      </c>
      <c r="L405" s="1" t="s">
        <v>1268</v>
      </c>
    </row>
    <row r="406" spans="1:12" ht="15.75" x14ac:dyDescent="0.25">
      <c r="A406" t="s">
        <v>1491</v>
      </c>
      <c r="B406" t="s">
        <v>1267</v>
      </c>
      <c r="C406" t="s">
        <v>43</v>
      </c>
      <c r="D406" s="1" t="s">
        <v>62</v>
      </c>
      <c r="E406" s="1" t="s">
        <v>62</v>
      </c>
      <c r="F406" t="s">
        <v>384</v>
      </c>
      <c r="G406" s="1" t="s">
        <v>345</v>
      </c>
      <c r="I406" s="23">
        <v>7106041</v>
      </c>
      <c r="L406" s="1" t="s">
        <v>1268</v>
      </c>
    </row>
    <row r="407" spans="1:12" ht="15.75" x14ac:dyDescent="0.25">
      <c r="A407" t="s">
        <v>1492</v>
      </c>
      <c r="B407" t="s">
        <v>1267</v>
      </c>
      <c r="C407" t="s">
        <v>43</v>
      </c>
      <c r="D407" s="1" t="s">
        <v>62</v>
      </c>
      <c r="E407" s="1" t="s">
        <v>62</v>
      </c>
      <c r="F407" t="s">
        <v>384</v>
      </c>
      <c r="G407" s="1" t="s">
        <v>345</v>
      </c>
      <c r="I407" s="23">
        <v>7106042</v>
      </c>
      <c r="L407" s="1" t="s">
        <v>1268</v>
      </c>
    </row>
    <row r="408" spans="1:12" ht="30" x14ac:dyDescent="0.25">
      <c r="A408" t="s">
        <v>1493</v>
      </c>
      <c r="B408" t="s">
        <v>1267</v>
      </c>
      <c r="C408" t="s">
        <v>43</v>
      </c>
      <c r="D408" s="1" t="s">
        <v>62</v>
      </c>
      <c r="E408" s="1" t="s">
        <v>62</v>
      </c>
      <c r="F408" t="s">
        <v>384</v>
      </c>
      <c r="G408" s="1" t="s">
        <v>1600</v>
      </c>
      <c r="I408" s="23">
        <v>7106043</v>
      </c>
      <c r="L408" s="1" t="s">
        <v>1268</v>
      </c>
    </row>
    <row r="409" spans="1:12" ht="15.75" x14ac:dyDescent="0.25">
      <c r="A409" t="s">
        <v>144</v>
      </c>
      <c r="B409" t="s">
        <v>594</v>
      </c>
      <c r="C409" t="s">
        <v>38</v>
      </c>
      <c r="D409" s="1" t="s">
        <v>502</v>
      </c>
      <c r="E409" t="s">
        <v>1269</v>
      </c>
      <c r="F409" t="s">
        <v>143</v>
      </c>
      <c r="G409" s="1" t="s">
        <v>494</v>
      </c>
      <c r="H409" t="s">
        <v>1270</v>
      </c>
      <c r="I409" s="23">
        <v>7101042</v>
      </c>
      <c r="L409" s="1" t="s">
        <v>649</v>
      </c>
    </row>
    <row r="410" spans="1:12" ht="15.75" x14ac:dyDescent="0.25">
      <c r="A410" t="s">
        <v>158</v>
      </c>
      <c r="B410" t="s">
        <v>594</v>
      </c>
      <c r="C410" t="s">
        <v>39</v>
      </c>
      <c r="D410" s="1" t="s">
        <v>502</v>
      </c>
      <c r="E410" t="s">
        <v>1269</v>
      </c>
      <c r="F410" t="s">
        <v>156</v>
      </c>
      <c r="G410" s="1" t="s">
        <v>494</v>
      </c>
      <c r="H410" t="s">
        <v>1270</v>
      </c>
      <c r="I410" s="22">
        <v>7102005</v>
      </c>
      <c r="L410" s="1" t="s">
        <v>649</v>
      </c>
    </row>
    <row r="411" spans="1:12" ht="30" x14ac:dyDescent="0.25">
      <c r="A411" t="s">
        <v>213</v>
      </c>
      <c r="B411" t="s">
        <v>594</v>
      </c>
      <c r="C411" t="s">
        <v>40</v>
      </c>
      <c r="D411" s="1" t="s">
        <v>502</v>
      </c>
      <c r="E411" t="s">
        <v>1269</v>
      </c>
      <c r="F411" t="s">
        <v>211</v>
      </c>
      <c r="G411" s="1" t="s">
        <v>494</v>
      </c>
      <c r="H411" t="s">
        <v>1270</v>
      </c>
      <c r="I411" s="23">
        <v>7103001</v>
      </c>
      <c r="K411" s="1" t="s">
        <v>1271</v>
      </c>
      <c r="L411" s="1" t="s">
        <v>649</v>
      </c>
    </row>
    <row r="412" spans="1:12" ht="15.75" x14ac:dyDescent="0.25">
      <c r="A412" t="s">
        <v>294</v>
      </c>
      <c r="B412" t="s">
        <v>594</v>
      </c>
      <c r="C412" t="s">
        <v>41</v>
      </c>
      <c r="D412" s="1" t="s">
        <v>502</v>
      </c>
      <c r="E412" t="s">
        <v>1269</v>
      </c>
      <c r="F412" t="s">
        <v>293</v>
      </c>
      <c r="G412" s="1" t="s">
        <v>494</v>
      </c>
      <c r="H412" t="s">
        <v>1270</v>
      </c>
      <c r="I412" s="23">
        <v>7104001</v>
      </c>
      <c r="L412" s="1" t="s">
        <v>649</v>
      </c>
    </row>
  </sheetData>
  <autoFilter ref="A2:K491" xr:uid="{00000000-0009-0000-0000-000003000000}"/>
  <phoneticPr fontId="12" type="noConversion"/>
  <dataValidations count="3">
    <dataValidation type="list" allowBlank="1" sqref="C3:C498" xr:uid="{00000000-0002-0000-0300-000000000000}">
      <formula1>"Relic,Weapon,Clue,Tarot Cards,Augmentation,Work of Mercy upgrade,Key Item / Skill,EXP Statue,Trap"</formula1>
      <formula2>0</formula2>
    </dataValidation>
    <dataValidation type="list" allowBlank="1" sqref="H3:H498" xr:uid="{00000000-0002-0000-0300-000001000000}">
      <formula1>"Yes,No"</formula1>
      <formula2>0</formula2>
    </dataValidation>
    <dataValidation type="list" allowBlank="1" sqref="B3:B498" xr:uid="{00000000-0002-0000-0300-000002000000}">
      <formula1>"Silver Chest,Gold Chest,Unique Reward,Ghost,Statue,Note / Stele,Absorption (Boss/NPC),Augmentation (walk over),Augmentation (interact),Work of Mercy,Scripted Event,Interaction (Weapon),Destruction (Statue),Other"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2" sqref="J12"/>
    </sheetView>
  </sheetViews>
  <sheetFormatPr baseColWidth="10" defaultColWidth="8.7109375" defaultRowHeight="15" x14ac:dyDescent="0.25"/>
  <cols>
    <col min="1" max="1" width="34" style="1" customWidth="1"/>
    <col min="2" max="3" width="20" style="1" customWidth="1"/>
    <col min="4" max="4" width="34" style="1" customWidth="1"/>
    <col min="5" max="6" width="30" style="1" customWidth="1"/>
    <col min="7" max="7" width="14" style="1" customWidth="1"/>
    <col min="8" max="8" width="40" style="1" customWidth="1"/>
  </cols>
  <sheetData>
    <row r="1" spans="1:8" x14ac:dyDescent="0.25">
      <c r="A1" s="7" t="s">
        <v>1272</v>
      </c>
    </row>
    <row r="2" spans="1:8" ht="30" x14ac:dyDescent="0.25">
      <c r="A2" s="8" t="s">
        <v>1273</v>
      </c>
      <c r="B2" s="8" t="s">
        <v>477</v>
      </c>
      <c r="C2" s="8" t="s">
        <v>478</v>
      </c>
      <c r="D2" s="8" t="s">
        <v>1274</v>
      </c>
      <c r="E2" s="8" t="s">
        <v>1275</v>
      </c>
      <c r="F2" s="8" t="s">
        <v>1276</v>
      </c>
      <c r="G2" s="8" t="s">
        <v>1277</v>
      </c>
      <c r="H2" s="8" t="s">
        <v>58</v>
      </c>
    </row>
    <row r="3" spans="1:8" x14ac:dyDescent="0.25">
      <c r="A3" s="20" t="s">
        <v>1278</v>
      </c>
      <c r="B3" s="20" t="s">
        <v>1278</v>
      </c>
      <c r="C3" s="20"/>
      <c r="D3" s="20" t="s">
        <v>649</v>
      </c>
      <c r="E3" s="20" t="s">
        <v>1279</v>
      </c>
      <c r="F3" s="20"/>
      <c r="G3" s="20"/>
      <c r="H3" s="20" t="s">
        <v>1280</v>
      </c>
    </row>
    <row r="4" spans="1:8" ht="29.25" x14ac:dyDescent="0.25">
      <c r="A4" s="3" t="s">
        <v>649</v>
      </c>
      <c r="B4" s="3" t="s">
        <v>502</v>
      </c>
      <c r="C4" s="3" t="s">
        <v>1281</v>
      </c>
      <c r="D4" s="3" t="s">
        <v>502</v>
      </c>
      <c r="E4" s="3" t="s">
        <v>626</v>
      </c>
      <c r="F4" s="3"/>
      <c r="G4" s="3"/>
      <c r="H4" s="3"/>
    </row>
    <row r="5" spans="1:8" x14ac:dyDescent="0.25">
      <c r="A5" s="3" t="s">
        <v>502</v>
      </c>
      <c r="B5" s="3" t="s">
        <v>502</v>
      </c>
      <c r="C5" s="3"/>
      <c r="D5" s="3" t="s">
        <v>484</v>
      </c>
      <c r="E5" s="3" t="s">
        <v>399</v>
      </c>
      <c r="F5" s="3"/>
      <c r="G5" s="3"/>
      <c r="H5" s="3"/>
    </row>
    <row r="6" spans="1:8" ht="43.5" x14ac:dyDescent="0.25">
      <c r="A6" s="3" t="s">
        <v>502</v>
      </c>
      <c r="B6" s="3" t="s">
        <v>502</v>
      </c>
      <c r="C6" s="3"/>
      <c r="D6" s="3" t="s">
        <v>840</v>
      </c>
      <c r="E6" s="3" t="s">
        <v>1282</v>
      </c>
      <c r="F6" s="3"/>
      <c r="G6" s="3"/>
      <c r="H6" s="3" t="s">
        <v>1283</v>
      </c>
    </row>
    <row r="7" spans="1:8" x14ac:dyDescent="0.25">
      <c r="A7" s="3" t="s">
        <v>840</v>
      </c>
      <c r="B7" s="3" t="s">
        <v>512</v>
      </c>
      <c r="C7" s="3" t="s">
        <v>1284</v>
      </c>
      <c r="D7" s="3" t="s">
        <v>512</v>
      </c>
      <c r="E7" s="3" t="s">
        <v>486</v>
      </c>
      <c r="F7" s="3"/>
      <c r="G7" s="3"/>
      <c r="H7" s="3"/>
    </row>
    <row r="8" spans="1:8" ht="29.25" x14ac:dyDescent="0.25">
      <c r="A8" s="3" t="s">
        <v>512</v>
      </c>
      <c r="B8" s="3" t="s">
        <v>512</v>
      </c>
      <c r="C8" s="3"/>
      <c r="D8" s="3" t="s">
        <v>706</v>
      </c>
      <c r="E8" s="3" t="s">
        <v>1602</v>
      </c>
      <c r="F8" s="3"/>
      <c r="G8" s="3"/>
      <c r="H8" s="3" t="s">
        <v>1603</v>
      </c>
    </row>
    <row r="9" spans="1:8" ht="29.25" x14ac:dyDescent="0.25">
      <c r="A9" s="3" t="s">
        <v>512</v>
      </c>
      <c r="B9" s="3" t="s">
        <v>512</v>
      </c>
      <c r="C9" s="3"/>
      <c r="D9" s="3" t="s">
        <v>1285</v>
      </c>
      <c r="E9" s="3" t="s">
        <v>396</v>
      </c>
      <c r="F9" s="3"/>
      <c r="G9" s="3"/>
      <c r="H9" s="3" t="s">
        <v>1286</v>
      </c>
    </row>
    <row r="10" spans="1:8" ht="29.25" x14ac:dyDescent="0.25">
      <c r="A10" s="3" t="s">
        <v>502</v>
      </c>
      <c r="B10" s="3" t="s">
        <v>502</v>
      </c>
      <c r="C10" s="3"/>
      <c r="D10" s="3" t="s">
        <v>488</v>
      </c>
      <c r="E10" s="3" t="s">
        <v>1287</v>
      </c>
      <c r="F10" s="3"/>
      <c r="G10" s="3"/>
      <c r="H10" s="3" t="s">
        <v>1288</v>
      </c>
    </row>
    <row r="11" spans="1:8" x14ac:dyDescent="0.25">
      <c r="A11" s="3" t="s">
        <v>488</v>
      </c>
      <c r="B11" s="3" t="s">
        <v>488</v>
      </c>
      <c r="C11" s="3"/>
      <c r="D11" s="3" t="s">
        <v>535</v>
      </c>
      <c r="E11" s="3" t="s">
        <v>494</v>
      </c>
      <c r="F11" s="3"/>
      <c r="G11" s="3"/>
      <c r="H11" s="3"/>
    </row>
    <row r="12" spans="1:8" x14ac:dyDescent="0.25">
      <c r="A12" s="3" t="s">
        <v>488</v>
      </c>
      <c r="B12" s="3" t="s">
        <v>488</v>
      </c>
      <c r="C12" s="3"/>
      <c r="D12" s="3" t="s">
        <v>531</v>
      </c>
      <c r="E12" s="3" t="s">
        <v>494</v>
      </c>
      <c r="F12" s="3"/>
      <c r="G12" s="3"/>
      <c r="H12" s="3"/>
    </row>
    <row r="13" spans="1:8" ht="57.75" x14ac:dyDescent="0.25">
      <c r="A13" s="3" t="s">
        <v>531</v>
      </c>
      <c r="B13" s="3" t="s">
        <v>531</v>
      </c>
      <c r="C13" s="3"/>
      <c r="D13" s="3" t="s">
        <v>624</v>
      </c>
      <c r="E13" s="3" t="s">
        <v>1289</v>
      </c>
      <c r="F13" s="3"/>
      <c r="G13" s="3"/>
      <c r="H13" s="3" t="s">
        <v>1290</v>
      </c>
    </row>
    <row r="14" spans="1:8" ht="57.75" x14ac:dyDescent="0.25">
      <c r="A14" s="3" t="s">
        <v>488</v>
      </c>
      <c r="B14" s="3" t="s">
        <v>488</v>
      </c>
      <c r="C14" s="3"/>
      <c r="D14" s="3" t="s">
        <v>492</v>
      </c>
      <c r="E14" s="3" t="s">
        <v>1291</v>
      </c>
      <c r="F14" s="3"/>
      <c r="G14" s="3"/>
      <c r="H14" s="3" t="s">
        <v>1292</v>
      </c>
    </row>
    <row r="15" spans="1:8" ht="129" x14ac:dyDescent="0.25">
      <c r="A15" s="3" t="s">
        <v>488</v>
      </c>
      <c r="B15" s="3" t="s">
        <v>488</v>
      </c>
      <c r="C15" s="3"/>
      <c r="D15" s="3" t="s">
        <v>428</v>
      </c>
      <c r="E15" s="3" t="s">
        <v>1293</v>
      </c>
      <c r="F15" s="3"/>
      <c r="G15" s="3"/>
      <c r="H15" s="3" t="s">
        <v>1294</v>
      </c>
    </row>
    <row r="16" spans="1:8" ht="29.25" x14ac:dyDescent="0.25">
      <c r="A16" s="3" t="s">
        <v>531</v>
      </c>
      <c r="B16" s="3" t="s">
        <v>531</v>
      </c>
      <c r="C16" s="3"/>
      <c r="D16" s="3" t="s">
        <v>1295</v>
      </c>
      <c r="E16" s="3" t="s">
        <v>486</v>
      </c>
      <c r="F16" s="3"/>
      <c r="G16" s="3"/>
      <c r="H16" s="3" t="s">
        <v>1296</v>
      </c>
    </row>
    <row r="17" spans="1:8" x14ac:dyDescent="0.25">
      <c r="A17" s="3" t="s">
        <v>624</v>
      </c>
      <c r="B17" s="3" t="s">
        <v>531</v>
      </c>
      <c r="C17" s="3" t="s">
        <v>1297</v>
      </c>
      <c r="D17" s="3" t="s">
        <v>523</v>
      </c>
      <c r="E17" s="3" t="s">
        <v>494</v>
      </c>
      <c r="F17" s="3"/>
      <c r="G17" s="3"/>
      <c r="H17" s="3" t="s">
        <v>1298</v>
      </c>
    </row>
    <row r="18" spans="1:8" ht="29.25" x14ac:dyDescent="0.25">
      <c r="A18" s="3" t="s">
        <v>1278</v>
      </c>
      <c r="B18" s="3" t="s">
        <v>1278</v>
      </c>
      <c r="C18" s="3"/>
      <c r="D18" s="3" t="s">
        <v>1268</v>
      </c>
      <c r="E18" s="3" t="s">
        <v>494</v>
      </c>
      <c r="F18" s="3"/>
      <c r="G18" s="3"/>
      <c r="H18" s="3" t="s">
        <v>1299</v>
      </c>
    </row>
  </sheetData>
  <autoFilter ref="A2:H500" xr:uid="{00000000-0009-0000-0000-000004000000}"/>
  <dataValidations count="1">
    <dataValidation type="list" allowBlank="1" sqref="G3:G500" xr:uid="{00000000-0002-0000-04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3"/>
  <sheetViews>
    <sheetView zoomScaleNormal="100" workbookViewId="0">
      <pane xSplit="1" ySplit="2" topLeftCell="B16" activePane="bottomRight" state="frozen"/>
      <selection pane="topRight" activeCell="B1" sqref="B1"/>
      <selection pane="bottomLeft" activeCell="A3" sqref="A3"/>
      <selection pane="bottomRight" activeCell="D20" sqref="D20"/>
    </sheetView>
  </sheetViews>
  <sheetFormatPr baseColWidth="10" defaultColWidth="8.7109375" defaultRowHeight="15" x14ac:dyDescent="0.25"/>
  <cols>
    <col min="1" max="1" width="26.7109375" customWidth="1"/>
    <col min="2" max="2" width="25.42578125" customWidth="1"/>
    <col min="3" max="3" width="30" customWidth="1"/>
    <col min="4" max="4" width="28" style="1" customWidth="1"/>
    <col min="5" max="5" width="28" customWidth="1"/>
    <col min="6" max="6" width="28" style="1" customWidth="1"/>
    <col min="7" max="8" width="14" customWidth="1"/>
    <col min="9" max="9" width="40" style="1" customWidth="1"/>
  </cols>
  <sheetData>
    <row r="1" spans="1:9" x14ac:dyDescent="0.25">
      <c r="A1" s="7" t="s">
        <v>1300</v>
      </c>
    </row>
    <row r="2" spans="1:9" ht="30" x14ac:dyDescent="0.25">
      <c r="A2" s="8" t="s">
        <v>1301</v>
      </c>
      <c r="B2" s="8" t="s">
        <v>1302</v>
      </c>
      <c r="C2" s="8" t="s">
        <v>1303</v>
      </c>
      <c r="D2" s="8" t="s">
        <v>1304</v>
      </c>
      <c r="E2" s="8" t="s">
        <v>1305</v>
      </c>
      <c r="F2" s="8" t="s">
        <v>1306</v>
      </c>
      <c r="G2" s="8" t="s">
        <v>1307</v>
      </c>
      <c r="H2" s="8" t="s">
        <v>1308</v>
      </c>
      <c r="I2" s="8" t="s">
        <v>58</v>
      </c>
    </row>
    <row r="3" spans="1:9" ht="30" x14ac:dyDescent="0.25">
      <c r="A3" t="s">
        <v>1309</v>
      </c>
      <c r="B3" t="s">
        <v>695</v>
      </c>
      <c r="C3" t="s">
        <v>1310</v>
      </c>
      <c r="D3" s="1" t="s">
        <v>62</v>
      </c>
      <c r="E3" t="s">
        <v>399</v>
      </c>
      <c r="F3" s="1" t="s">
        <v>1311</v>
      </c>
      <c r="G3" t="s">
        <v>1312</v>
      </c>
      <c r="H3" t="s">
        <v>1270</v>
      </c>
    </row>
    <row r="4" spans="1:9" ht="30" x14ac:dyDescent="0.25">
      <c r="A4" t="s">
        <v>1313</v>
      </c>
      <c r="B4" t="s">
        <v>599</v>
      </c>
      <c r="C4" t="s">
        <v>1314</v>
      </c>
      <c r="D4" s="1" t="s">
        <v>399</v>
      </c>
      <c r="E4" t="s">
        <v>402</v>
      </c>
      <c r="F4" s="1" t="s">
        <v>1315</v>
      </c>
      <c r="G4" t="s">
        <v>1312</v>
      </c>
      <c r="H4" t="s">
        <v>1312</v>
      </c>
    </row>
    <row r="5" spans="1:9" ht="30" x14ac:dyDescent="0.25">
      <c r="A5" t="s">
        <v>1316</v>
      </c>
      <c r="B5" t="s">
        <v>634</v>
      </c>
      <c r="C5" t="s">
        <v>1317</v>
      </c>
      <c r="D5" s="1" t="s">
        <v>486</v>
      </c>
      <c r="E5" t="s">
        <v>62</v>
      </c>
      <c r="F5" s="1" t="s">
        <v>1318</v>
      </c>
      <c r="G5" t="s">
        <v>1312</v>
      </c>
      <c r="H5" t="s">
        <v>1270</v>
      </c>
    </row>
    <row r="6" spans="1:9" ht="30" x14ac:dyDescent="0.25">
      <c r="A6" t="s">
        <v>1319</v>
      </c>
      <c r="B6" t="s">
        <v>732</v>
      </c>
      <c r="C6" t="s">
        <v>1320</v>
      </c>
      <c r="D6" s="1" t="s">
        <v>486</v>
      </c>
      <c r="E6" t="s">
        <v>62</v>
      </c>
      <c r="F6" s="1" t="s">
        <v>423</v>
      </c>
      <c r="G6" t="s">
        <v>1270</v>
      </c>
      <c r="H6" t="s">
        <v>1270</v>
      </c>
      <c r="I6" s="1" t="s">
        <v>1321</v>
      </c>
    </row>
    <row r="7" spans="1:9" ht="45" x14ac:dyDescent="0.25">
      <c r="A7" t="s">
        <v>1322</v>
      </c>
      <c r="B7" t="s">
        <v>1323</v>
      </c>
      <c r="C7" t="s">
        <v>1324</v>
      </c>
      <c r="D7" s="1" t="s">
        <v>486</v>
      </c>
      <c r="E7" t="s">
        <v>62</v>
      </c>
      <c r="F7" s="1" t="s">
        <v>62</v>
      </c>
      <c r="G7" t="s">
        <v>1270</v>
      </c>
      <c r="H7" t="s">
        <v>1270</v>
      </c>
      <c r="I7" s="1" t="s">
        <v>1325</v>
      </c>
    </row>
    <row r="8" spans="1:9" ht="30" x14ac:dyDescent="0.25">
      <c r="A8" t="s">
        <v>1326</v>
      </c>
      <c r="B8" t="s">
        <v>702</v>
      </c>
      <c r="C8" t="s">
        <v>1327</v>
      </c>
      <c r="D8" s="1" t="s">
        <v>1328</v>
      </c>
      <c r="E8" t="s">
        <v>405</v>
      </c>
      <c r="F8" s="1" t="s">
        <v>318</v>
      </c>
      <c r="G8" t="s">
        <v>1312</v>
      </c>
      <c r="H8" t="s">
        <v>1270</v>
      </c>
    </row>
    <row r="9" spans="1:9" ht="30" x14ac:dyDescent="0.25">
      <c r="A9" t="s">
        <v>1329</v>
      </c>
      <c r="B9" t="s">
        <v>699</v>
      </c>
      <c r="C9" t="s">
        <v>1330</v>
      </c>
      <c r="D9" s="1" t="s">
        <v>1328</v>
      </c>
      <c r="E9" t="s">
        <v>408</v>
      </c>
      <c r="F9" s="1" t="s">
        <v>310</v>
      </c>
      <c r="G9" t="s">
        <v>1312</v>
      </c>
      <c r="H9" t="s">
        <v>1270</v>
      </c>
    </row>
    <row r="10" spans="1:9" ht="45" x14ac:dyDescent="0.25">
      <c r="A10" t="s">
        <v>1331</v>
      </c>
      <c r="B10" t="s">
        <v>664</v>
      </c>
      <c r="C10" t="s">
        <v>1332</v>
      </c>
      <c r="D10" s="1" t="s">
        <v>1333</v>
      </c>
      <c r="E10" t="s">
        <v>62</v>
      </c>
      <c r="F10" s="1" t="s">
        <v>314</v>
      </c>
      <c r="G10" t="s">
        <v>1312</v>
      </c>
      <c r="H10" t="s">
        <v>1270</v>
      </c>
    </row>
    <row r="11" spans="1:9" ht="60" x14ac:dyDescent="0.25">
      <c r="A11" t="s">
        <v>1334</v>
      </c>
      <c r="B11" t="s">
        <v>595</v>
      </c>
      <c r="C11" t="s">
        <v>1335</v>
      </c>
      <c r="D11" s="1" t="s">
        <v>1336</v>
      </c>
      <c r="E11" t="s">
        <v>62</v>
      </c>
      <c r="F11" s="1" t="s">
        <v>1337</v>
      </c>
      <c r="G11" t="s">
        <v>1312</v>
      </c>
      <c r="H11" t="s">
        <v>1312</v>
      </c>
      <c r="I11" s="1" t="s">
        <v>1604</v>
      </c>
    </row>
    <row r="12" spans="1:9" s="1" customFormat="1" ht="75" x14ac:dyDescent="0.25">
      <c r="A12" s="1" t="s">
        <v>1338</v>
      </c>
      <c r="B12" s="1" t="s">
        <v>706</v>
      </c>
      <c r="C12" s="1" t="s">
        <v>1339</v>
      </c>
      <c r="D12" s="1" t="s">
        <v>1340</v>
      </c>
      <c r="E12" s="1" t="s">
        <v>62</v>
      </c>
      <c r="F12" s="1" t="s">
        <v>324</v>
      </c>
      <c r="G12" s="1" t="s">
        <v>1312</v>
      </c>
      <c r="H12" s="1" t="s">
        <v>1270</v>
      </c>
    </row>
    <row r="13" spans="1:9" s="1" customFormat="1" ht="30" x14ac:dyDescent="0.25">
      <c r="A13" s="1" t="s">
        <v>1341</v>
      </c>
      <c r="B13" s="1" t="s">
        <v>1285</v>
      </c>
      <c r="C13" s="1" t="s">
        <v>1342</v>
      </c>
      <c r="D13" s="1" t="s">
        <v>396</v>
      </c>
      <c r="E13" s="1" t="s">
        <v>62</v>
      </c>
      <c r="F13" s="1" t="s">
        <v>327</v>
      </c>
      <c r="G13" s="1" t="s">
        <v>1312</v>
      </c>
      <c r="H13" s="1" t="s">
        <v>1312</v>
      </c>
      <c r="I13" s="1" t="s">
        <v>1343</v>
      </c>
    </row>
    <row r="14" spans="1:9" ht="105" x14ac:dyDescent="0.25">
      <c r="A14" t="s">
        <v>1344</v>
      </c>
      <c r="B14" t="s">
        <v>606</v>
      </c>
      <c r="C14" t="s">
        <v>1345</v>
      </c>
      <c r="D14" s="1" t="s">
        <v>1346</v>
      </c>
      <c r="E14" t="s">
        <v>62</v>
      </c>
      <c r="F14" s="1" t="s">
        <v>1347</v>
      </c>
      <c r="G14" t="s">
        <v>1312</v>
      </c>
      <c r="H14" t="s">
        <v>1270</v>
      </c>
    </row>
    <row r="15" spans="1:9" ht="120" x14ac:dyDescent="0.25">
      <c r="A15" t="s">
        <v>1348</v>
      </c>
      <c r="B15" t="s">
        <v>710</v>
      </c>
      <c r="C15" t="s">
        <v>1349</v>
      </c>
      <c r="D15" s="1" t="s">
        <v>1350</v>
      </c>
      <c r="E15" t="s">
        <v>62</v>
      </c>
      <c r="F15" s="1" t="s">
        <v>334</v>
      </c>
      <c r="G15" t="s">
        <v>1312</v>
      </c>
      <c r="H15" t="s">
        <v>1270</v>
      </c>
    </row>
    <row r="16" spans="1:9" ht="75" x14ac:dyDescent="0.25">
      <c r="A16" t="s">
        <v>1351</v>
      </c>
      <c r="B16" t="s">
        <v>704</v>
      </c>
      <c r="C16" t="s">
        <v>1352</v>
      </c>
      <c r="D16" s="1" t="s">
        <v>1353</v>
      </c>
      <c r="E16" t="s">
        <v>411</v>
      </c>
      <c r="F16" s="1" t="s">
        <v>320</v>
      </c>
      <c r="G16" t="s">
        <v>1312</v>
      </c>
      <c r="H16" t="s">
        <v>1312</v>
      </c>
    </row>
    <row r="17" spans="1:9" ht="45" x14ac:dyDescent="0.25">
      <c r="A17" t="s">
        <v>1354</v>
      </c>
      <c r="B17" t="s">
        <v>715</v>
      </c>
      <c r="C17" t="s">
        <v>1355</v>
      </c>
      <c r="D17" s="1" t="s">
        <v>1356</v>
      </c>
      <c r="E17" t="s">
        <v>62</v>
      </c>
      <c r="F17" s="1" t="s">
        <v>345</v>
      </c>
      <c r="G17" t="s">
        <v>1312</v>
      </c>
      <c r="H17" t="s">
        <v>1312</v>
      </c>
      <c r="I17" s="1" t="s">
        <v>1357</v>
      </c>
    </row>
    <row r="18" spans="1:9" ht="90" x14ac:dyDescent="0.25">
      <c r="A18" t="s">
        <v>1358</v>
      </c>
      <c r="B18" t="s">
        <v>704</v>
      </c>
      <c r="C18" t="s">
        <v>1352</v>
      </c>
      <c r="D18" s="1" t="s">
        <v>1359</v>
      </c>
      <c r="E18" t="s">
        <v>411</v>
      </c>
      <c r="F18" s="1" t="s">
        <v>1360</v>
      </c>
      <c r="G18" t="s">
        <v>1270</v>
      </c>
      <c r="H18" t="s">
        <v>1270</v>
      </c>
      <c r="I18" s="1" t="s">
        <v>1361</v>
      </c>
    </row>
    <row r="19" spans="1:9" ht="105" x14ac:dyDescent="0.25">
      <c r="A19" t="s">
        <v>1362</v>
      </c>
      <c r="B19" t="s">
        <v>728</v>
      </c>
      <c r="C19" t="s">
        <v>1363</v>
      </c>
      <c r="D19" s="1" t="s">
        <v>1364</v>
      </c>
      <c r="E19" t="s">
        <v>62</v>
      </c>
      <c r="F19" s="1" t="s">
        <v>414</v>
      </c>
      <c r="G19" t="s">
        <v>1270</v>
      </c>
      <c r="H19" s="1" t="s">
        <v>1312</v>
      </c>
    </row>
    <row r="20" spans="1:9" ht="105" x14ac:dyDescent="0.25">
      <c r="A20" t="s">
        <v>1365</v>
      </c>
      <c r="B20" t="s">
        <v>643</v>
      </c>
      <c r="C20" t="s">
        <v>1366</v>
      </c>
      <c r="D20" s="1" t="s">
        <v>1367</v>
      </c>
      <c r="E20" t="s">
        <v>62</v>
      </c>
      <c r="F20" s="1" t="s">
        <v>296</v>
      </c>
      <c r="G20" t="s">
        <v>1312</v>
      </c>
      <c r="H20" t="s">
        <v>1312</v>
      </c>
    </row>
    <row r="21" spans="1:9" ht="90" x14ac:dyDescent="0.25">
      <c r="A21" t="s">
        <v>1368</v>
      </c>
      <c r="B21" t="s">
        <v>622</v>
      </c>
      <c r="C21" t="s">
        <v>1369</v>
      </c>
      <c r="D21" s="1" t="s">
        <v>1370</v>
      </c>
      <c r="E21" t="s">
        <v>62</v>
      </c>
      <c r="F21" s="1" t="s">
        <v>331</v>
      </c>
      <c r="G21" t="s">
        <v>1312</v>
      </c>
      <c r="H21" t="s">
        <v>1270</v>
      </c>
      <c r="I21" s="1" t="s">
        <v>1371</v>
      </c>
    </row>
    <row r="22" spans="1:9" ht="90" x14ac:dyDescent="0.25">
      <c r="A22" t="s">
        <v>1372</v>
      </c>
      <c r="B22" t="s">
        <v>1373</v>
      </c>
      <c r="C22" t="s">
        <v>1374</v>
      </c>
      <c r="D22" s="1" t="s">
        <v>1370</v>
      </c>
      <c r="E22" t="s">
        <v>62</v>
      </c>
      <c r="F22" s="1" t="s">
        <v>62</v>
      </c>
      <c r="G22" t="s">
        <v>1270</v>
      </c>
      <c r="H22" t="s">
        <v>1312</v>
      </c>
    </row>
    <row r="23" spans="1:9" ht="90" x14ac:dyDescent="0.25">
      <c r="A23" t="s">
        <v>1375</v>
      </c>
      <c r="B23" t="s">
        <v>1376</v>
      </c>
      <c r="C23" t="s">
        <v>1377</v>
      </c>
      <c r="D23" s="1" t="s">
        <v>1370</v>
      </c>
      <c r="E23" t="s">
        <v>62</v>
      </c>
      <c r="F23" s="1" t="s">
        <v>62</v>
      </c>
      <c r="G23" t="s">
        <v>1270</v>
      </c>
      <c r="H23" t="s">
        <v>1312</v>
      </c>
    </row>
  </sheetData>
  <autoFilter ref="A2:I505" xr:uid="{00000000-0009-0000-0000-000005000000}"/>
  <dataValidations count="1">
    <dataValidation type="list" allowBlank="1" sqref="G3:H500" xr:uid="{00000000-0002-0000-05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2" sqref="E12"/>
    </sheetView>
  </sheetViews>
  <sheetFormatPr baseColWidth="10" defaultColWidth="8.7109375" defaultRowHeight="15" x14ac:dyDescent="0.25"/>
  <cols>
    <col min="1" max="1" width="16" customWidth="1"/>
    <col min="2" max="2" width="32" customWidth="1"/>
    <col min="3" max="3" width="55" style="1" customWidth="1"/>
    <col min="4" max="4" width="34" style="1" customWidth="1"/>
    <col min="5" max="5" width="42" style="1" customWidth="1"/>
    <col min="6" max="6" width="40" style="1" customWidth="1"/>
  </cols>
  <sheetData>
    <row r="1" spans="1:6" x14ac:dyDescent="0.25">
      <c r="A1" s="7" t="s">
        <v>1378</v>
      </c>
    </row>
    <row r="2" spans="1:6" x14ac:dyDescent="0.25">
      <c r="A2" s="8" t="s">
        <v>1379</v>
      </c>
      <c r="B2" s="8" t="s">
        <v>1380</v>
      </c>
      <c r="C2" s="8" t="s">
        <v>1381</v>
      </c>
      <c r="D2" s="8" t="s">
        <v>1382</v>
      </c>
      <c r="E2" s="8" t="s">
        <v>1383</v>
      </c>
      <c r="F2" s="8" t="s">
        <v>58</v>
      </c>
    </row>
    <row r="3" spans="1:6" ht="43.5" x14ac:dyDescent="0.25">
      <c r="A3" s="6" t="s">
        <v>1384</v>
      </c>
      <c r="B3" s="6" t="s">
        <v>1385</v>
      </c>
      <c r="C3" s="3" t="s">
        <v>1386</v>
      </c>
      <c r="D3" s="3" t="s">
        <v>1387</v>
      </c>
      <c r="E3" s="3" t="s">
        <v>1388</v>
      </c>
      <c r="F3" s="3" t="s">
        <v>1389</v>
      </c>
    </row>
    <row r="4" spans="1:6" ht="57.75" x14ac:dyDescent="0.25">
      <c r="A4" s="6" t="s">
        <v>1390</v>
      </c>
      <c r="B4" s="6" t="s">
        <v>1391</v>
      </c>
      <c r="C4" s="3" t="s">
        <v>1392</v>
      </c>
      <c r="D4" s="3" t="s">
        <v>1393</v>
      </c>
      <c r="E4" s="3" t="s">
        <v>1394</v>
      </c>
      <c r="F4" s="3"/>
    </row>
    <row r="5" spans="1:6" ht="86.25" x14ac:dyDescent="0.25">
      <c r="A5" s="6" t="s">
        <v>1395</v>
      </c>
      <c r="B5" s="6" t="s">
        <v>1396</v>
      </c>
      <c r="C5" s="3" t="s">
        <v>1397</v>
      </c>
      <c r="D5" s="3" t="s">
        <v>1398</v>
      </c>
      <c r="E5" s="3"/>
      <c r="F5" s="3" t="s">
        <v>1399</v>
      </c>
    </row>
  </sheetData>
  <autoFilter ref="A2:F500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8" sqref="D8"/>
    </sheetView>
  </sheetViews>
  <sheetFormatPr baseColWidth="10" defaultColWidth="8.7109375" defaultRowHeight="15" x14ac:dyDescent="0.25"/>
  <cols>
    <col min="1" max="1" width="26" customWidth="1"/>
    <col min="2" max="3" width="16" customWidth="1"/>
    <col min="4" max="5" width="18" customWidth="1"/>
    <col min="6" max="6" width="50" customWidth="1"/>
  </cols>
  <sheetData>
    <row r="1" spans="1:6" ht="15" customHeight="1" x14ac:dyDescent="0.25">
      <c r="A1" s="7" t="s">
        <v>1400</v>
      </c>
    </row>
    <row r="2" spans="1:6" ht="31.5" customHeight="1" x14ac:dyDescent="0.25">
      <c r="A2" s="8" t="s">
        <v>34</v>
      </c>
      <c r="B2" s="8" t="s">
        <v>1401</v>
      </c>
      <c r="C2" s="8" t="s">
        <v>1402</v>
      </c>
      <c r="D2" s="8" t="s">
        <v>1403</v>
      </c>
      <c r="E2" s="8" t="s">
        <v>1404</v>
      </c>
      <c r="F2" s="8" t="s">
        <v>58</v>
      </c>
    </row>
    <row r="3" spans="1:6" ht="15" customHeight="1" x14ac:dyDescent="0.25">
      <c r="A3" s="6" t="s">
        <v>38</v>
      </c>
      <c r="B3" s="11">
        <v>7001000</v>
      </c>
      <c r="C3" s="13">
        <f t="shared" ref="C3:C11" si="0">B3+999</f>
        <v>7001999</v>
      </c>
      <c r="D3" s="11">
        <v>7101000</v>
      </c>
      <c r="E3" s="13">
        <f t="shared" ref="E3:E10" si="1">D3+999</f>
        <v>7101999</v>
      </c>
      <c r="F3" s="6"/>
    </row>
    <row r="4" spans="1:6" ht="15" customHeight="1" x14ac:dyDescent="0.25">
      <c r="A4" s="6" t="s">
        <v>39</v>
      </c>
      <c r="B4" s="11">
        <v>7002000</v>
      </c>
      <c r="C4" s="13">
        <f t="shared" si="0"/>
        <v>7002999</v>
      </c>
      <c r="D4" s="11">
        <v>7102000</v>
      </c>
      <c r="E4" s="13">
        <f t="shared" si="1"/>
        <v>7102999</v>
      </c>
      <c r="F4" s="6" t="s">
        <v>1405</v>
      </c>
    </row>
    <row r="5" spans="1:6" ht="15" customHeight="1" x14ac:dyDescent="0.25">
      <c r="A5" s="6" t="s">
        <v>40</v>
      </c>
      <c r="B5" s="11">
        <v>7003000</v>
      </c>
      <c r="C5" s="13">
        <f t="shared" si="0"/>
        <v>7003999</v>
      </c>
      <c r="D5" s="11">
        <v>7103000</v>
      </c>
      <c r="E5" s="13">
        <f t="shared" si="1"/>
        <v>7103999</v>
      </c>
      <c r="F5" s="6"/>
    </row>
    <row r="6" spans="1:6" ht="15" customHeight="1" x14ac:dyDescent="0.25">
      <c r="A6" s="6" t="s">
        <v>41</v>
      </c>
      <c r="B6" s="11">
        <v>7004000</v>
      </c>
      <c r="C6" s="13">
        <f t="shared" si="0"/>
        <v>7004999</v>
      </c>
      <c r="D6" s="11">
        <v>7104000</v>
      </c>
      <c r="E6" s="13">
        <f t="shared" si="1"/>
        <v>7104999</v>
      </c>
      <c r="F6" s="6"/>
    </row>
    <row r="7" spans="1:6" ht="15" customHeight="1" x14ac:dyDescent="0.25">
      <c r="A7" s="6" t="s">
        <v>42</v>
      </c>
      <c r="B7" s="11">
        <v>7005000</v>
      </c>
      <c r="C7" s="13">
        <f t="shared" si="0"/>
        <v>7005999</v>
      </c>
      <c r="D7" s="11">
        <v>7105000</v>
      </c>
      <c r="E7" s="13">
        <f t="shared" si="1"/>
        <v>7105999</v>
      </c>
      <c r="F7" s="6"/>
    </row>
    <row r="8" spans="1:6" ht="15" customHeight="1" x14ac:dyDescent="0.25">
      <c r="A8" s="6" t="s">
        <v>43</v>
      </c>
      <c r="B8" s="11">
        <v>7006000</v>
      </c>
      <c r="C8" s="13">
        <f t="shared" si="0"/>
        <v>7006999</v>
      </c>
      <c r="D8" s="11">
        <v>7106000</v>
      </c>
      <c r="E8" s="13">
        <f t="shared" si="1"/>
        <v>7106999</v>
      </c>
      <c r="F8" s="6"/>
    </row>
    <row r="9" spans="1:6" ht="15" customHeight="1" x14ac:dyDescent="0.25">
      <c r="A9" s="6" t="s">
        <v>44</v>
      </c>
      <c r="B9" s="11">
        <v>7007000</v>
      </c>
      <c r="C9" s="13">
        <f t="shared" si="0"/>
        <v>7007999</v>
      </c>
      <c r="D9" s="11">
        <v>7107000</v>
      </c>
      <c r="E9" s="13">
        <f t="shared" si="1"/>
        <v>7107999</v>
      </c>
      <c r="F9" s="6" t="s">
        <v>1406</v>
      </c>
    </row>
    <row r="10" spans="1:6" ht="15" customHeight="1" x14ac:dyDescent="0.25">
      <c r="A10" s="9" t="s">
        <v>45</v>
      </c>
      <c r="B10" s="11">
        <v>7008000</v>
      </c>
      <c r="C10" s="13">
        <f t="shared" si="0"/>
        <v>7008999</v>
      </c>
      <c r="D10" s="11">
        <v>7108000</v>
      </c>
      <c r="E10" s="13">
        <f t="shared" si="1"/>
        <v>7108999</v>
      </c>
      <c r="F10" s="6"/>
    </row>
    <row r="11" spans="1:6" ht="15" customHeight="1" x14ac:dyDescent="0.25">
      <c r="A11" s="6" t="s">
        <v>465</v>
      </c>
      <c r="B11" s="11">
        <v>7009000</v>
      </c>
      <c r="C11" s="13">
        <f t="shared" si="0"/>
        <v>7009999</v>
      </c>
      <c r="D11" s="14"/>
      <c r="E11" s="14"/>
      <c r="F11" s="6" t="s">
        <v>1407</v>
      </c>
    </row>
    <row r="12" spans="1:6" ht="15" customHeight="1" x14ac:dyDescent="0.25">
      <c r="A12" s="6" t="s">
        <v>1408</v>
      </c>
      <c r="B12" s="14"/>
      <c r="C12" s="14"/>
      <c r="D12" s="11">
        <v>7109000</v>
      </c>
      <c r="E12" s="13">
        <f>D12+999</f>
        <v>7109999</v>
      </c>
      <c r="F12" s="6" t="s">
        <v>1409</v>
      </c>
    </row>
  </sheetData>
  <autoFilter ref="A2:F501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5"/>
  <sheetViews>
    <sheetView tabSelected="1" zoomScaleNormal="100"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E38" sqref="E38"/>
    </sheetView>
  </sheetViews>
  <sheetFormatPr baseColWidth="10" defaultColWidth="8.7109375" defaultRowHeight="15" x14ac:dyDescent="0.25"/>
  <cols>
    <col min="1" max="1" width="22" customWidth="1"/>
    <col min="2" max="2" width="40" style="1" customWidth="1"/>
    <col min="3" max="5" width="30.7109375" customWidth="1"/>
    <col min="6" max="6" width="36" customWidth="1"/>
    <col min="7" max="7" width="40" customWidth="1"/>
  </cols>
  <sheetData>
    <row r="1" spans="1:7" ht="15" customHeight="1" x14ac:dyDescent="0.25">
      <c r="A1" s="7" t="s">
        <v>1410</v>
      </c>
    </row>
    <row r="2" spans="1:7" ht="31.5" customHeight="1" x14ac:dyDescent="0.25">
      <c r="A2" s="8" t="s">
        <v>1411</v>
      </c>
      <c r="B2" s="8" t="s">
        <v>1412</v>
      </c>
      <c r="C2" s="8" t="s">
        <v>1413</v>
      </c>
      <c r="D2" s="8" t="s">
        <v>1414</v>
      </c>
      <c r="E2" s="8" t="s">
        <v>1415</v>
      </c>
      <c r="F2" s="8" t="s">
        <v>1416</v>
      </c>
      <c r="G2" s="8" t="s">
        <v>58</v>
      </c>
    </row>
    <row r="3" spans="1:7" ht="30" x14ac:dyDescent="0.25">
      <c r="A3" s="1" t="s">
        <v>293</v>
      </c>
      <c r="B3" s="19" t="s">
        <v>1499</v>
      </c>
      <c r="C3" s="24" t="s">
        <v>1605</v>
      </c>
      <c r="D3" s="18" t="s">
        <v>62</v>
      </c>
      <c r="E3" s="18" t="s">
        <v>62</v>
      </c>
      <c r="F3" t="s">
        <v>1454</v>
      </c>
    </row>
    <row r="4" spans="1:7" ht="45" x14ac:dyDescent="0.25">
      <c r="A4" s="1" t="s">
        <v>296</v>
      </c>
      <c r="B4" s="19" t="s">
        <v>1500</v>
      </c>
      <c r="C4" s="24" t="s">
        <v>1541</v>
      </c>
      <c r="D4" s="24" t="s">
        <v>1542</v>
      </c>
      <c r="E4" s="24" t="s">
        <v>1543</v>
      </c>
      <c r="F4" t="s">
        <v>1455</v>
      </c>
    </row>
    <row r="5" spans="1:7" x14ac:dyDescent="0.25">
      <c r="A5" s="1" t="s">
        <v>296</v>
      </c>
      <c r="B5" s="19" t="s">
        <v>1501</v>
      </c>
      <c r="C5" s="18" t="s">
        <v>1578</v>
      </c>
      <c r="D5" s="18" t="s">
        <v>1578</v>
      </c>
      <c r="E5" s="18" t="s">
        <v>1578</v>
      </c>
      <c r="F5" t="s">
        <v>1456</v>
      </c>
      <c r="G5" s="18" t="s">
        <v>1579</v>
      </c>
    </row>
    <row r="6" spans="1:7" ht="30" x14ac:dyDescent="0.25">
      <c r="A6" s="1" t="s">
        <v>296</v>
      </c>
      <c r="B6" s="19" t="s">
        <v>1502</v>
      </c>
      <c r="C6" s="18" t="s">
        <v>1578</v>
      </c>
      <c r="D6" s="18" t="s">
        <v>1578</v>
      </c>
      <c r="E6" s="18" t="s">
        <v>1578</v>
      </c>
      <c r="F6" t="s">
        <v>1457</v>
      </c>
    </row>
    <row r="7" spans="1:7" ht="75" x14ac:dyDescent="0.25">
      <c r="A7" s="1" t="s">
        <v>301</v>
      </c>
      <c r="B7" s="19" t="s">
        <v>1503</v>
      </c>
      <c r="C7" s="24" t="s">
        <v>1544</v>
      </c>
      <c r="D7" s="24" t="s">
        <v>1545</v>
      </c>
      <c r="E7" s="24" t="s">
        <v>1546</v>
      </c>
      <c r="F7" t="s">
        <v>1458</v>
      </c>
      <c r="G7" s="18" t="s">
        <v>1579</v>
      </c>
    </row>
    <row r="8" spans="1:7" ht="30" x14ac:dyDescent="0.25">
      <c r="A8" s="1" t="s">
        <v>301</v>
      </c>
      <c r="B8" s="19" t="s">
        <v>1504</v>
      </c>
      <c r="C8" s="18" t="s">
        <v>1578</v>
      </c>
      <c r="D8" s="18" t="s">
        <v>1578</v>
      </c>
      <c r="E8" s="18" t="s">
        <v>1578</v>
      </c>
      <c r="F8" t="s">
        <v>1459</v>
      </c>
    </row>
    <row r="9" spans="1:7" x14ac:dyDescent="0.25">
      <c r="A9" s="1" t="s">
        <v>301</v>
      </c>
      <c r="B9" s="19" t="s">
        <v>1505</v>
      </c>
      <c r="C9" s="18" t="s">
        <v>1578</v>
      </c>
      <c r="D9" s="18" t="s">
        <v>1578</v>
      </c>
      <c r="E9" s="18" t="s">
        <v>1578</v>
      </c>
      <c r="F9" t="s">
        <v>1460</v>
      </c>
    </row>
    <row r="10" spans="1:7" ht="60" x14ac:dyDescent="0.25">
      <c r="A10" s="1" t="s">
        <v>303</v>
      </c>
      <c r="B10" s="19" t="s">
        <v>1506</v>
      </c>
      <c r="C10" s="24" t="s">
        <v>1547</v>
      </c>
      <c r="D10" s="24" t="s">
        <v>1548</v>
      </c>
      <c r="E10" s="24" t="s">
        <v>1606</v>
      </c>
      <c r="F10" t="s">
        <v>1461</v>
      </c>
    </row>
    <row r="11" spans="1:7" x14ac:dyDescent="0.25">
      <c r="A11" s="1" t="s">
        <v>303</v>
      </c>
      <c r="B11" s="19" t="s">
        <v>1507</v>
      </c>
      <c r="C11" s="18" t="s">
        <v>1578</v>
      </c>
      <c r="D11" s="18" t="s">
        <v>1578</v>
      </c>
      <c r="E11" s="18" t="s">
        <v>1578</v>
      </c>
      <c r="F11" t="s">
        <v>1462</v>
      </c>
      <c r="G11" s="18" t="s">
        <v>1579</v>
      </c>
    </row>
    <row r="12" spans="1:7" x14ac:dyDescent="0.25">
      <c r="A12" s="1" t="s">
        <v>303</v>
      </c>
      <c r="B12" s="19" t="s">
        <v>1508</v>
      </c>
      <c r="C12" s="18" t="s">
        <v>1578</v>
      </c>
      <c r="D12" s="18" t="s">
        <v>1578</v>
      </c>
      <c r="E12" s="18" t="s">
        <v>1578</v>
      </c>
      <c r="F12" t="s">
        <v>1463</v>
      </c>
    </row>
    <row r="13" spans="1:7" ht="75" x14ac:dyDescent="0.25">
      <c r="A13" s="1" t="s">
        <v>307</v>
      </c>
      <c r="B13" s="19" t="s">
        <v>1509</v>
      </c>
      <c r="C13" s="24" t="s">
        <v>1549</v>
      </c>
      <c r="D13" s="24" t="s">
        <v>1550</v>
      </c>
      <c r="E13" s="18" t="s">
        <v>62</v>
      </c>
      <c r="F13" t="s">
        <v>1464</v>
      </c>
    </row>
    <row r="14" spans="1:7" ht="30" x14ac:dyDescent="0.25">
      <c r="A14" s="1" t="s">
        <v>307</v>
      </c>
      <c r="B14" s="19" t="s">
        <v>1510</v>
      </c>
      <c r="C14" s="18" t="s">
        <v>1578</v>
      </c>
      <c r="D14" s="18" t="s">
        <v>1578</v>
      </c>
      <c r="E14" s="18" t="s">
        <v>1578</v>
      </c>
      <c r="F14" t="s">
        <v>1465</v>
      </c>
    </row>
    <row r="15" spans="1:7" ht="45" x14ac:dyDescent="0.25">
      <c r="A15" s="1" t="s">
        <v>310</v>
      </c>
      <c r="B15" s="19" t="s">
        <v>1511</v>
      </c>
      <c r="C15" s="24" t="s">
        <v>1607</v>
      </c>
      <c r="D15" s="24" t="s">
        <v>1551</v>
      </c>
      <c r="E15" s="24" t="s">
        <v>1608</v>
      </c>
      <c r="F15" t="s">
        <v>1466</v>
      </c>
    </row>
    <row r="16" spans="1:7" ht="30" x14ac:dyDescent="0.25">
      <c r="A16" s="1" t="s">
        <v>310</v>
      </c>
      <c r="B16" s="19" t="s">
        <v>1609</v>
      </c>
      <c r="C16" s="18" t="s">
        <v>1578</v>
      </c>
      <c r="D16" s="18" t="s">
        <v>1578</v>
      </c>
      <c r="E16" s="18" t="s">
        <v>1578</v>
      </c>
      <c r="F16" t="s">
        <v>1467</v>
      </c>
    </row>
    <row r="17" spans="1:7" x14ac:dyDescent="0.25">
      <c r="A17" s="1" t="s">
        <v>310</v>
      </c>
      <c r="B17" s="19" t="s">
        <v>1512</v>
      </c>
      <c r="C17" s="18" t="s">
        <v>1578</v>
      </c>
      <c r="D17" s="18" t="s">
        <v>1578</v>
      </c>
      <c r="E17" s="18" t="s">
        <v>1578</v>
      </c>
      <c r="F17" t="s">
        <v>1468</v>
      </c>
    </row>
    <row r="18" spans="1:7" ht="45" x14ac:dyDescent="0.25">
      <c r="A18" s="1" t="s">
        <v>314</v>
      </c>
      <c r="B18" s="19" t="s">
        <v>1513</v>
      </c>
      <c r="C18" s="24" t="s">
        <v>1552</v>
      </c>
      <c r="D18" s="24" t="s">
        <v>1553</v>
      </c>
      <c r="E18" s="24" t="s">
        <v>1554</v>
      </c>
      <c r="F18" t="s">
        <v>1469</v>
      </c>
    </row>
    <row r="19" spans="1:7" ht="30" x14ac:dyDescent="0.25">
      <c r="A19" s="1" t="s">
        <v>314</v>
      </c>
      <c r="B19" s="19" t="s">
        <v>1514</v>
      </c>
      <c r="C19" s="18" t="s">
        <v>1578</v>
      </c>
      <c r="D19" s="18" t="s">
        <v>1578</v>
      </c>
      <c r="E19" s="18" t="s">
        <v>1578</v>
      </c>
      <c r="F19" t="s">
        <v>1470</v>
      </c>
    </row>
    <row r="20" spans="1:7" x14ac:dyDescent="0.25">
      <c r="A20" s="1" t="s">
        <v>314</v>
      </c>
      <c r="B20" s="19" t="s">
        <v>1515</v>
      </c>
      <c r="C20" s="18" t="s">
        <v>1578</v>
      </c>
      <c r="D20" s="18" t="s">
        <v>1578</v>
      </c>
      <c r="E20" s="18" t="s">
        <v>1578</v>
      </c>
      <c r="F20" t="s">
        <v>1471</v>
      </c>
      <c r="G20" s="18" t="s">
        <v>1579</v>
      </c>
    </row>
    <row r="21" spans="1:7" ht="45" x14ac:dyDescent="0.25">
      <c r="A21" s="1" t="s">
        <v>318</v>
      </c>
      <c r="B21" s="19" t="s">
        <v>1516</v>
      </c>
      <c r="C21" s="24" t="s">
        <v>1555</v>
      </c>
      <c r="D21" s="24" t="s">
        <v>1556</v>
      </c>
      <c r="E21" s="24" t="s">
        <v>1557</v>
      </c>
      <c r="F21" t="s">
        <v>1580</v>
      </c>
    </row>
    <row r="22" spans="1:7" x14ac:dyDescent="0.25">
      <c r="A22" s="1" t="s">
        <v>318</v>
      </c>
      <c r="B22" s="19" t="s">
        <v>1517</v>
      </c>
      <c r="C22" s="18" t="s">
        <v>1578</v>
      </c>
      <c r="D22" s="18" t="s">
        <v>1578</v>
      </c>
      <c r="E22" s="18" t="s">
        <v>1578</v>
      </c>
      <c r="F22" t="s">
        <v>1581</v>
      </c>
      <c r="G22" s="18" t="s">
        <v>1579</v>
      </c>
    </row>
    <row r="23" spans="1:7" ht="30" x14ac:dyDescent="0.25">
      <c r="A23" s="1" t="s">
        <v>318</v>
      </c>
      <c r="B23" s="19" t="s">
        <v>1518</v>
      </c>
      <c r="C23" s="18" t="s">
        <v>1578</v>
      </c>
      <c r="D23" s="18" t="s">
        <v>1578</v>
      </c>
      <c r="E23" s="18" t="s">
        <v>1578</v>
      </c>
      <c r="F23" t="s">
        <v>1582</v>
      </c>
    </row>
    <row r="24" spans="1:7" ht="45" x14ac:dyDescent="0.25">
      <c r="A24" s="1" t="s">
        <v>320</v>
      </c>
      <c r="B24" s="19" t="s">
        <v>1519</v>
      </c>
      <c r="C24" s="24" t="s">
        <v>1558</v>
      </c>
      <c r="D24" s="24" t="s">
        <v>1559</v>
      </c>
      <c r="E24" s="24" t="s">
        <v>1560</v>
      </c>
      <c r="F24" t="s">
        <v>1472</v>
      </c>
      <c r="G24" s="18" t="s">
        <v>1579</v>
      </c>
    </row>
    <row r="25" spans="1:7" x14ac:dyDescent="0.25">
      <c r="A25" s="1" t="s">
        <v>320</v>
      </c>
      <c r="B25" s="19" t="s">
        <v>1520</v>
      </c>
      <c r="C25" s="18" t="s">
        <v>1578</v>
      </c>
      <c r="D25" s="18" t="s">
        <v>1578</v>
      </c>
      <c r="E25" s="18" t="s">
        <v>1578</v>
      </c>
      <c r="F25" t="s">
        <v>1473</v>
      </c>
    </row>
    <row r="26" spans="1:7" ht="30" x14ac:dyDescent="0.25">
      <c r="A26" s="1" t="s">
        <v>320</v>
      </c>
      <c r="B26" s="19" t="s">
        <v>1521</v>
      </c>
      <c r="C26" s="18" t="s">
        <v>1578</v>
      </c>
      <c r="D26" s="18" t="s">
        <v>1578</v>
      </c>
      <c r="E26" s="18" t="s">
        <v>1578</v>
      </c>
      <c r="F26" t="s">
        <v>1474</v>
      </c>
    </row>
    <row r="27" spans="1:7" ht="60" x14ac:dyDescent="0.25">
      <c r="A27" s="1" t="s">
        <v>324</v>
      </c>
      <c r="B27" s="19" t="s">
        <v>1522</v>
      </c>
      <c r="C27" s="24" t="s">
        <v>1561</v>
      </c>
      <c r="D27" s="24" t="s">
        <v>1562</v>
      </c>
      <c r="E27" s="24" t="s">
        <v>1563</v>
      </c>
      <c r="F27" t="s">
        <v>1475</v>
      </c>
    </row>
    <row r="28" spans="1:7" x14ac:dyDescent="0.25">
      <c r="A28" s="1" t="s">
        <v>324</v>
      </c>
      <c r="B28" s="19" t="s">
        <v>1523</v>
      </c>
      <c r="C28" s="18" t="s">
        <v>1578</v>
      </c>
      <c r="D28" s="18" t="s">
        <v>1578</v>
      </c>
      <c r="E28" s="18" t="s">
        <v>1578</v>
      </c>
      <c r="F28" t="s">
        <v>1476</v>
      </c>
    </row>
    <row r="29" spans="1:7" ht="30" x14ac:dyDescent="0.25">
      <c r="A29" s="1" t="s">
        <v>324</v>
      </c>
      <c r="B29" s="19" t="s">
        <v>1524</v>
      </c>
      <c r="C29" s="18" t="s">
        <v>1578</v>
      </c>
      <c r="D29" s="18" t="s">
        <v>1578</v>
      </c>
      <c r="E29" s="18" t="s">
        <v>1578</v>
      </c>
      <c r="F29" t="s">
        <v>1477</v>
      </c>
    </row>
    <row r="30" spans="1:7" ht="75" x14ac:dyDescent="0.25">
      <c r="A30" s="1" t="s">
        <v>327</v>
      </c>
      <c r="B30" s="19" t="s">
        <v>1525</v>
      </c>
      <c r="C30" s="24" t="s">
        <v>1564</v>
      </c>
      <c r="D30" s="24" t="s">
        <v>1565</v>
      </c>
      <c r="E30" s="18" t="s">
        <v>62</v>
      </c>
      <c r="F30" t="s">
        <v>1478</v>
      </c>
    </row>
    <row r="31" spans="1:7" x14ac:dyDescent="0.25">
      <c r="A31" s="1" t="s">
        <v>327</v>
      </c>
      <c r="B31" s="19" t="s">
        <v>1526</v>
      </c>
      <c r="C31" s="18" t="s">
        <v>1578</v>
      </c>
      <c r="D31" s="18" t="s">
        <v>1578</v>
      </c>
      <c r="E31" s="18" t="s">
        <v>1578</v>
      </c>
      <c r="F31" t="s">
        <v>1479</v>
      </c>
    </row>
    <row r="32" spans="1:7" ht="45" x14ac:dyDescent="0.25">
      <c r="A32" s="1" t="s">
        <v>331</v>
      </c>
      <c r="B32" s="19" t="s">
        <v>1527</v>
      </c>
      <c r="C32" s="24" t="s">
        <v>1566</v>
      </c>
      <c r="D32" s="24" t="s">
        <v>1567</v>
      </c>
      <c r="E32" s="18" t="s">
        <v>62</v>
      </c>
      <c r="F32" t="s">
        <v>1480</v>
      </c>
    </row>
    <row r="33" spans="1:7" x14ac:dyDescent="0.25">
      <c r="A33" s="1" t="s">
        <v>331</v>
      </c>
      <c r="B33" s="19" t="s">
        <v>1528</v>
      </c>
      <c r="C33" s="18" t="s">
        <v>1578</v>
      </c>
      <c r="D33" s="18" t="s">
        <v>1578</v>
      </c>
      <c r="E33" s="18" t="s">
        <v>1578</v>
      </c>
      <c r="F33" t="s">
        <v>1481</v>
      </c>
      <c r="G33" s="18" t="s">
        <v>1579</v>
      </c>
    </row>
    <row r="34" spans="1:7" ht="45" x14ac:dyDescent="0.25">
      <c r="A34" s="1" t="s">
        <v>334</v>
      </c>
      <c r="B34" s="19" t="s">
        <v>1529</v>
      </c>
      <c r="C34" s="24" t="s">
        <v>1568</v>
      </c>
      <c r="D34" s="24" t="s">
        <v>1569</v>
      </c>
      <c r="E34" s="24" t="s">
        <v>1570</v>
      </c>
      <c r="F34" t="s">
        <v>1482</v>
      </c>
    </row>
    <row r="35" spans="1:7" x14ac:dyDescent="0.25">
      <c r="A35" s="1" t="s">
        <v>334</v>
      </c>
      <c r="B35" s="19" t="s">
        <v>1530</v>
      </c>
      <c r="C35" s="18" t="s">
        <v>1578</v>
      </c>
      <c r="D35" s="18" t="s">
        <v>1578</v>
      </c>
      <c r="E35" s="18" t="s">
        <v>1578</v>
      </c>
      <c r="F35" t="s">
        <v>1483</v>
      </c>
      <c r="G35" s="18" t="s">
        <v>1579</v>
      </c>
    </row>
    <row r="36" spans="1:7" x14ac:dyDescent="0.25">
      <c r="A36" s="1" t="s">
        <v>334</v>
      </c>
      <c r="B36" s="19" t="s">
        <v>1531</v>
      </c>
      <c r="C36" s="18" t="s">
        <v>1578</v>
      </c>
      <c r="D36" s="18" t="s">
        <v>1578</v>
      </c>
      <c r="E36" s="18" t="s">
        <v>1578</v>
      </c>
      <c r="F36" t="s">
        <v>1484</v>
      </c>
    </row>
    <row r="37" spans="1:7" ht="60" x14ac:dyDescent="0.25">
      <c r="A37" s="1" t="s">
        <v>338</v>
      </c>
      <c r="B37" s="19" t="s">
        <v>1532</v>
      </c>
      <c r="C37" s="24" t="s">
        <v>1571</v>
      </c>
      <c r="D37" s="24" t="s">
        <v>1610</v>
      </c>
      <c r="E37" s="24" t="s">
        <v>1611</v>
      </c>
      <c r="F37" t="s">
        <v>1485</v>
      </c>
    </row>
    <row r="38" spans="1:7" x14ac:dyDescent="0.25">
      <c r="A38" s="1" t="s">
        <v>338</v>
      </c>
      <c r="B38" s="19" t="s">
        <v>1533</v>
      </c>
      <c r="C38" s="18" t="s">
        <v>1578</v>
      </c>
      <c r="D38" s="18" t="s">
        <v>1578</v>
      </c>
      <c r="E38" s="18" t="s">
        <v>1578</v>
      </c>
      <c r="F38" t="s">
        <v>1486</v>
      </c>
    </row>
    <row r="39" spans="1:7" x14ac:dyDescent="0.25">
      <c r="A39" s="1" t="s">
        <v>338</v>
      </c>
      <c r="B39" s="19" t="s">
        <v>1534</v>
      </c>
      <c r="C39" s="18" t="s">
        <v>1578</v>
      </c>
      <c r="D39" s="18" t="s">
        <v>1578</v>
      </c>
      <c r="E39" s="18" t="s">
        <v>1578</v>
      </c>
      <c r="F39" t="s">
        <v>1487</v>
      </c>
    </row>
    <row r="40" spans="1:7" ht="45" x14ac:dyDescent="0.25">
      <c r="A40" s="1" t="s">
        <v>341</v>
      </c>
      <c r="B40" s="19" t="s">
        <v>1535</v>
      </c>
      <c r="C40" s="24" t="s">
        <v>1572</v>
      </c>
      <c r="D40" s="24" t="s">
        <v>1573</v>
      </c>
      <c r="E40" s="24" t="s">
        <v>1574</v>
      </c>
      <c r="F40" t="s">
        <v>1488</v>
      </c>
    </row>
    <row r="41" spans="1:7" x14ac:dyDescent="0.25">
      <c r="A41" s="1" t="s">
        <v>341</v>
      </c>
      <c r="B41" s="19" t="s">
        <v>1536</v>
      </c>
      <c r="C41" s="18" t="s">
        <v>1578</v>
      </c>
      <c r="D41" s="18" t="s">
        <v>1578</v>
      </c>
      <c r="E41" s="18" t="s">
        <v>1578</v>
      </c>
      <c r="F41" t="s">
        <v>1489</v>
      </c>
    </row>
    <row r="42" spans="1:7" ht="30" x14ac:dyDescent="0.25">
      <c r="A42" s="1" t="s">
        <v>341</v>
      </c>
      <c r="B42" s="19" t="s">
        <v>1537</v>
      </c>
      <c r="C42" s="18" t="s">
        <v>1578</v>
      </c>
      <c r="D42" s="18" t="s">
        <v>1578</v>
      </c>
      <c r="E42" s="18" t="s">
        <v>1578</v>
      </c>
      <c r="F42" t="s">
        <v>1490</v>
      </c>
      <c r="G42" s="18" t="s">
        <v>1579</v>
      </c>
    </row>
    <row r="43" spans="1:7" ht="90" x14ac:dyDescent="0.25">
      <c r="A43" s="1" t="s">
        <v>345</v>
      </c>
      <c r="B43" s="19" t="s">
        <v>1538</v>
      </c>
      <c r="C43" s="24" t="s">
        <v>1575</v>
      </c>
      <c r="D43" s="24" t="s">
        <v>1576</v>
      </c>
      <c r="E43" s="24" t="s">
        <v>1577</v>
      </c>
      <c r="F43" t="s">
        <v>1491</v>
      </c>
      <c r="G43" s="18" t="s">
        <v>1579</v>
      </c>
    </row>
    <row r="44" spans="1:7" x14ac:dyDescent="0.25">
      <c r="A44" s="1" t="s">
        <v>345</v>
      </c>
      <c r="B44" s="19" t="s">
        <v>1539</v>
      </c>
      <c r="C44" s="18" t="s">
        <v>1578</v>
      </c>
      <c r="D44" s="18" t="s">
        <v>1578</v>
      </c>
      <c r="E44" s="18" t="s">
        <v>1578</v>
      </c>
      <c r="F44" t="s">
        <v>1492</v>
      </c>
    </row>
    <row r="45" spans="1:7" ht="30" x14ac:dyDescent="0.25">
      <c r="A45" s="1" t="s">
        <v>345</v>
      </c>
      <c r="B45" s="19" t="s">
        <v>1540</v>
      </c>
      <c r="C45" s="18" t="s">
        <v>1578</v>
      </c>
      <c r="D45" s="18" t="s">
        <v>1578</v>
      </c>
      <c r="E45" s="18" t="s">
        <v>1578</v>
      </c>
      <c r="F45" t="s">
        <v>1493</v>
      </c>
    </row>
  </sheetData>
  <autoFilter ref="A2:G499" xr:uid="{00000000-0009-0000-0000-000008000000}"/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7109375" defaultRowHeight="15" x14ac:dyDescent="0.25"/>
  <cols>
    <col min="1" max="1" width="26" customWidth="1"/>
    <col min="2" max="2" width="40" customWidth="1"/>
    <col min="3" max="3" width="16" customWidth="1"/>
    <col min="4" max="5" width="40" customWidth="1"/>
  </cols>
  <sheetData>
    <row r="1" spans="1:5" ht="15" customHeight="1" x14ac:dyDescent="0.25">
      <c r="A1" s="7" t="s">
        <v>1417</v>
      </c>
    </row>
    <row r="2" spans="1:5" ht="31.5" customHeight="1" x14ac:dyDescent="0.25">
      <c r="A2" s="8" t="s">
        <v>1418</v>
      </c>
      <c r="B2" s="8" t="s">
        <v>1419</v>
      </c>
      <c r="C2" s="8" t="s">
        <v>1420</v>
      </c>
      <c r="D2" s="8" t="s">
        <v>1421</v>
      </c>
      <c r="E2" s="8" t="s">
        <v>58</v>
      </c>
    </row>
    <row r="3" spans="1:5" ht="15" customHeight="1" x14ac:dyDescent="0.25">
      <c r="A3" s="15" t="s">
        <v>1422</v>
      </c>
      <c r="B3" s="15" t="s">
        <v>1423</v>
      </c>
      <c r="C3" s="15" t="s">
        <v>1270</v>
      </c>
      <c r="D3" s="15"/>
      <c r="E3" s="15"/>
    </row>
  </sheetData>
  <autoFilter ref="A2:E500" xr:uid="{00000000-0009-0000-0000-000009000000}"/>
  <dataValidations count="1">
    <dataValidation type="list" allowBlank="1" sqref="C3:C500" xr:uid="{00000000-0002-0000-09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0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7" sqref="F7"/>
    </sheetView>
  </sheetViews>
  <sheetFormatPr baseColWidth="10" defaultColWidth="8.7109375" defaultRowHeight="15" x14ac:dyDescent="0.25"/>
  <cols>
    <col min="1" max="1" width="24" customWidth="1"/>
    <col min="2" max="2" width="40" style="1" customWidth="1"/>
    <col min="3" max="3" width="12" customWidth="1"/>
    <col min="4" max="4" width="14" customWidth="1"/>
    <col min="5" max="5" width="18" customWidth="1"/>
    <col min="6" max="6" width="40" customWidth="1"/>
  </cols>
  <sheetData>
    <row r="1" spans="1:6" ht="15" customHeight="1" x14ac:dyDescent="0.25">
      <c r="A1" s="7" t="s">
        <v>1424</v>
      </c>
    </row>
    <row r="2" spans="1:6" ht="31.5" customHeight="1" x14ac:dyDescent="0.25">
      <c r="A2" s="8" t="s">
        <v>1425</v>
      </c>
      <c r="B2" s="8" t="s">
        <v>1426</v>
      </c>
      <c r="C2" s="8" t="s">
        <v>1427</v>
      </c>
      <c r="D2" s="8" t="s">
        <v>1428</v>
      </c>
      <c r="E2" s="8" t="s">
        <v>1429</v>
      </c>
      <c r="F2" s="8" t="s">
        <v>58</v>
      </c>
    </row>
    <row r="3" spans="1:6" ht="15" customHeight="1" x14ac:dyDescent="0.25">
      <c r="A3" s="15" t="s">
        <v>1430</v>
      </c>
      <c r="B3" s="16" t="s">
        <v>1431</v>
      </c>
      <c r="C3" s="15"/>
      <c r="D3" s="15" t="s">
        <v>1312</v>
      </c>
      <c r="E3" s="15"/>
      <c r="F3" s="15"/>
    </row>
    <row r="4" spans="1:6" ht="30" customHeight="1" x14ac:dyDescent="0.25">
      <c r="A4" t="s">
        <v>1432</v>
      </c>
      <c r="B4" s="1" t="s">
        <v>1433</v>
      </c>
      <c r="C4">
        <v>3</v>
      </c>
      <c r="D4" t="s">
        <v>1312</v>
      </c>
      <c r="E4">
        <v>22</v>
      </c>
    </row>
    <row r="5" spans="1:6" ht="30" customHeight="1" x14ac:dyDescent="0.25">
      <c r="A5" t="s">
        <v>1434</v>
      </c>
      <c r="B5" s="1" t="s">
        <v>1435</v>
      </c>
      <c r="C5">
        <v>8</v>
      </c>
      <c r="D5" t="s">
        <v>1312</v>
      </c>
      <c r="E5">
        <v>22</v>
      </c>
    </row>
    <row r="6" spans="1:6" ht="45" customHeight="1" x14ac:dyDescent="0.25">
      <c r="A6" t="s">
        <v>1436</v>
      </c>
      <c r="B6" s="1" t="s">
        <v>1437</v>
      </c>
      <c r="C6">
        <v>3</v>
      </c>
      <c r="D6" t="s">
        <v>1312</v>
      </c>
      <c r="E6">
        <v>22</v>
      </c>
    </row>
    <row r="7" spans="1:6" ht="45" customHeight="1" x14ac:dyDescent="0.25">
      <c r="A7" t="s">
        <v>1438</v>
      </c>
      <c r="B7" s="1" t="s">
        <v>1439</v>
      </c>
      <c r="C7">
        <v>4</v>
      </c>
      <c r="D7" t="s">
        <v>1270</v>
      </c>
      <c r="E7">
        <v>6</v>
      </c>
    </row>
    <row r="8" spans="1:6" ht="15" customHeight="1" x14ac:dyDescent="0.25">
      <c r="A8" t="s">
        <v>1440</v>
      </c>
      <c r="B8" s="1" t="s">
        <v>1441</v>
      </c>
      <c r="C8">
        <v>3</v>
      </c>
      <c r="D8" t="s">
        <v>1270</v>
      </c>
      <c r="E8">
        <v>6</v>
      </c>
    </row>
    <row r="9" spans="1:6" ht="15" customHeight="1" x14ac:dyDescent="0.25">
      <c r="A9" t="s">
        <v>1442</v>
      </c>
      <c r="B9" s="1" t="s">
        <v>1443</v>
      </c>
      <c r="C9">
        <v>7</v>
      </c>
      <c r="D9" t="s">
        <v>1312</v>
      </c>
      <c r="E9">
        <v>22</v>
      </c>
    </row>
    <row r="10" spans="1:6" ht="15" customHeight="1" x14ac:dyDescent="0.25"/>
    <row r="11" spans="1:6" ht="15" customHeight="1" x14ac:dyDescent="0.25"/>
    <row r="12" spans="1:6" ht="15" customHeight="1" x14ac:dyDescent="0.25"/>
    <row r="13" spans="1:6" ht="15" customHeight="1" x14ac:dyDescent="0.25"/>
    <row r="14" spans="1:6" ht="15" customHeight="1" x14ac:dyDescent="0.25"/>
    <row r="15" spans="1:6" ht="15" customHeight="1" x14ac:dyDescent="0.25"/>
    <row r="16" spans="1: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</sheetData>
  <autoFilter ref="A2:F500" xr:uid="{00000000-0009-0000-0000-00000A000000}"/>
  <dataValidations count="1">
    <dataValidation type="list" allowBlank="1" sqref="D3:D500" xr:uid="{00000000-0002-0000-0A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21" sqref="E21"/>
    </sheetView>
  </sheetViews>
  <sheetFormatPr baseColWidth="10" defaultColWidth="8.7109375" defaultRowHeight="15" x14ac:dyDescent="0.25"/>
  <cols>
    <col min="1" max="1" width="26" customWidth="1"/>
    <col min="2" max="2" width="7" customWidth="1"/>
    <col min="3" max="3" width="30" customWidth="1"/>
    <col min="4" max="4" width="45" customWidth="1"/>
    <col min="5" max="5" width="40" style="1" customWidth="1"/>
  </cols>
  <sheetData>
    <row r="1" spans="1:5" x14ac:dyDescent="0.25">
      <c r="A1" s="7" t="s">
        <v>1444</v>
      </c>
    </row>
    <row r="2" spans="1:5" ht="26.25" customHeight="1" x14ac:dyDescent="0.25">
      <c r="A2" s="8" t="s">
        <v>1445</v>
      </c>
      <c r="B2" s="8" t="s">
        <v>51</v>
      </c>
      <c r="C2" s="8" t="s">
        <v>39</v>
      </c>
      <c r="D2" s="10" t="s">
        <v>54</v>
      </c>
      <c r="E2" s="8" t="s">
        <v>58</v>
      </c>
    </row>
    <row r="3" spans="1:5" x14ac:dyDescent="0.25">
      <c r="A3" s="15" t="s">
        <v>1446</v>
      </c>
      <c r="B3" s="15">
        <v>1</v>
      </c>
      <c r="C3" s="15" t="s">
        <v>1447</v>
      </c>
      <c r="D3" s="15"/>
      <c r="E3" s="16"/>
    </row>
    <row r="4" spans="1:5" ht="30" x14ac:dyDescent="0.25">
      <c r="A4" t="s">
        <v>146</v>
      </c>
      <c r="B4">
        <v>1</v>
      </c>
      <c r="C4" t="s">
        <v>146</v>
      </c>
      <c r="D4" t="s">
        <v>148</v>
      </c>
      <c r="E4" s="1" t="s">
        <v>1448</v>
      </c>
    </row>
    <row r="5" spans="1:5" x14ac:dyDescent="0.25">
      <c r="A5" t="s">
        <v>146</v>
      </c>
      <c r="B5">
        <v>2</v>
      </c>
      <c r="C5" t="s">
        <v>150</v>
      </c>
      <c r="D5" t="s">
        <v>151</v>
      </c>
    </row>
    <row r="6" spans="1:5" x14ac:dyDescent="0.25">
      <c r="A6" t="s">
        <v>146</v>
      </c>
      <c r="B6">
        <v>3</v>
      </c>
      <c r="C6" t="s">
        <v>152</v>
      </c>
      <c r="D6" t="s">
        <v>153</v>
      </c>
    </row>
    <row r="7" spans="1:5" x14ac:dyDescent="0.25">
      <c r="A7" t="s">
        <v>146</v>
      </c>
      <c r="B7">
        <v>4</v>
      </c>
      <c r="C7" t="s">
        <v>154</v>
      </c>
      <c r="D7" t="s">
        <v>155</v>
      </c>
    </row>
    <row r="8" spans="1:5" x14ac:dyDescent="0.25">
      <c r="A8" t="s">
        <v>157</v>
      </c>
      <c r="B8">
        <v>1</v>
      </c>
      <c r="C8" t="s">
        <v>156</v>
      </c>
      <c r="D8" t="s">
        <v>62</v>
      </c>
      <c r="E8" s="1" t="s">
        <v>159</v>
      </c>
    </row>
    <row r="9" spans="1:5" x14ac:dyDescent="0.25">
      <c r="A9" t="s">
        <v>157</v>
      </c>
      <c r="B9">
        <v>2</v>
      </c>
      <c r="C9" t="s">
        <v>160</v>
      </c>
      <c r="D9" t="s">
        <v>161</v>
      </c>
    </row>
    <row r="10" spans="1:5" x14ac:dyDescent="0.25">
      <c r="A10" t="s">
        <v>157</v>
      </c>
      <c r="B10">
        <v>3</v>
      </c>
      <c r="C10" t="s">
        <v>162</v>
      </c>
      <c r="D10" t="s">
        <v>163</v>
      </c>
    </row>
    <row r="11" spans="1:5" x14ac:dyDescent="0.25">
      <c r="A11" t="s">
        <v>157</v>
      </c>
      <c r="B11">
        <v>4</v>
      </c>
      <c r="C11" t="s">
        <v>164</v>
      </c>
      <c r="D11" t="s">
        <v>165</v>
      </c>
    </row>
    <row r="12" spans="1:5" x14ac:dyDescent="0.25">
      <c r="A12" t="s">
        <v>167</v>
      </c>
      <c r="B12">
        <v>1</v>
      </c>
      <c r="C12" t="s">
        <v>166</v>
      </c>
      <c r="D12" t="s">
        <v>168</v>
      </c>
    </row>
    <row r="13" spans="1:5" x14ac:dyDescent="0.25">
      <c r="A13" t="s">
        <v>167</v>
      </c>
      <c r="B13">
        <v>2</v>
      </c>
      <c r="C13" t="s">
        <v>169</v>
      </c>
      <c r="D13" t="s">
        <v>170</v>
      </c>
    </row>
    <row r="14" spans="1:5" x14ac:dyDescent="0.25">
      <c r="A14" t="s">
        <v>167</v>
      </c>
      <c r="B14">
        <v>3</v>
      </c>
      <c r="C14" t="s">
        <v>171</v>
      </c>
      <c r="D14" t="s">
        <v>172</v>
      </c>
    </row>
    <row r="15" spans="1:5" x14ac:dyDescent="0.25">
      <c r="A15" t="s">
        <v>167</v>
      </c>
      <c r="B15">
        <v>4</v>
      </c>
      <c r="C15" t="s">
        <v>173</v>
      </c>
      <c r="D15" t="s">
        <v>174</v>
      </c>
    </row>
    <row r="16" spans="1:5" x14ac:dyDescent="0.25">
      <c r="A16" t="s">
        <v>176</v>
      </c>
      <c r="B16">
        <v>1</v>
      </c>
      <c r="C16" t="s">
        <v>175</v>
      </c>
      <c r="D16" t="s">
        <v>177</v>
      </c>
    </row>
    <row r="17" spans="1:5" x14ac:dyDescent="0.25">
      <c r="A17" t="s">
        <v>176</v>
      </c>
      <c r="B17">
        <v>2</v>
      </c>
      <c r="C17" t="s">
        <v>178</v>
      </c>
      <c r="D17" t="s">
        <v>179</v>
      </c>
    </row>
    <row r="18" spans="1:5" x14ac:dyDescent="0.25">
      <c r="A18" t="s">
        <v>176</v>
      </c>
      <c r="B18">
        <v>3</v>
      </c>
      <c r="C18" t="s">
        <v>180</v>
      </c>
      <c r="D18" t="s">
        <v>181</v>
      </c>
    </row>
    <row r="19" spans="1:5" x14ac:dyDescent="0.25">
      <c r="A19" t="s">
        <v>176</v>
      </c>
      <c r="B19">
        <v>4</v>
      </c>
      <c r="C19" t="s">
        <v>182</v>
      </c>
      <c r="D19" t="s">
        <v>1449</v>
      </c>
    </row>
    <row r="20" spans="1:5" x14ac:dyDescent="0.25">
      <c r="A20" t="s">
        <v>185</v>
      </c>
      <c r="B20">
        <v>1</v>
      </c>
      <c r="C20" t="s">
        <v>184</v>
      </c>
      <c r="D20" t="s">
        <v>186</v>
      </c>
    </row>
    <row r="21" spans="1:5" x14ac:dyDescent="0.25">
      <c r="A21" t="s">
        <v>185</v>
      </c>
      <c r="B21">
        <v>2</v>
      </c>
      <c r="C21" t="s">
        <v>187</v>
      </c>
      <c r="D21" t="s">
        <v>188</v>
      </c>
    </row>
    <row r="22" spans="1:5" x14ac:dyDescent="0.25">
      <c r="A22" t="s">
        <v>185</v>
      </c>
      <c r="B22">
        <v>3</v>
      </c>
      <c r="C22" t="s">
        <v>189</v>
      </c>
      <c r="D22" t="s">
        <v>190</v>
      </c>
    </row>
    <row r="23" spans="1:5" x14ac:dyDescent="0.25">
      <c r="A23" t="s">
        <v>185</v>
      </c>
      <c r="B23">
        <v>4</v>
      </c>
      <c r="C23" t="s">
        <v>191</v>
      </c>
      <c r="D23" t="s">
        <v>192</v>
      </c>
    </row>
    <row r="24" spans="1:5" x14ac:dyDescent="0.25">
      <c r="A24" t="s">
        <v>194</v>
      </c>
      <c r="B24">
        <v>1</v>
      </c>
      <c r="C24" t="s">
        <v>193</v>
      </c>
      <c r="D24" t="s">
        <v>195</v>
      </c>
    </row>
    <row r="25" spans="1:5" x14ac:dyDescent="0.25">
      <c r="A25" t="s">
        <v>194</v>
      </c>
      <c r="B25">
        <v>2</v>
      </c>
      <c r="C25" t="s">
        <v>196</v>
      </c>
      <c r="D25" t="s">
        <v>197</v>
      </c>
    </row>
    <row r="26" spans="1:5" x14ac:dyDescent="0.25">
      <c r="A26" t="s">
        <v>194</v>
      </c>
      <c r="B26">
        <v>3</v>
      </c>
      <c r="C26" t="s">
        <v>198</v>
      </c>
      <c r="D26" t="s">
        <v>1450</v>
      </c>
    </row>
    <row r="27" spans="1:5" x14ac:dyDescent="0.25">
      <c r="A27" t="s">
        <v>194</v>
      </c>
      <c r="B27">
        <v>4</v>
      </c>
      <c r="C27" t="s">
        <v>200</v>
      </c>
      <c r="D27" t="s">
        <v>1451</v>
      </c>
    </row>
    <row r="28" spans="1:5" x14ac:dyDescent="0.25">
      <c r="A28" s="12" t="s">
        <v>203</v>
      </c>
      <c r="B28" s="12">
        <v>1</v>
      </c>
      <c r="C28" s="12" t="s">
        <v>202</v>
      </c>
      <c r="D28" s="12" t="s">
        <v>204</v>
      </c>
      <c r="E28" s="3"/>
    </row>
    <row r="29" spans="1:5" x14ac:dyDescent="0.25">
      <c r="A29" s="12" t="s">
        <v>203</v>
      </c>
      <c r="B29" s="12">
        <v>2</v>
      </c>
      <c r="C29" s="12" t="s">
        <v>205</v>
      </c>
      <c r="D29" s="12" t="s">
        <v>206</v>
      </c>
      <c r="E29" s="3"/>
    </row>
    <row r="30" spans="1:5" x14ac:dyDescent="0.25">
      <c r="A30" s="12" t="s">
        <v>203</v>
      </c>
      <c r="B30" s="12">
        <v>3</v>
      </c>
      <c r="C30" s="12" t="s">
        <v>207</v>
      </c>
      <c r="D30" s="12" t="s">
        <v>208</v>
      </c>
      <c r="E30" s="3"/>
    </row>
    <row r="31" spans="1:5" x14ac:dyDescent="0.25">
      <c r="A31" s="12" t="s">
        <v>203</v>
      </c>
      <c r="B31" s="12">
        <v>4</v>
      </c>
      <c r="C31" s="12" t="s">
        <v>209</v>
      </c>
      <c r="D31" s="12" t="s">
        <v>1452</v>
      </c>
      <c r="E31" s="3"/>
    </row>
  </sheetData>
  <autoFilter ref="A2:E500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Help</vt:lpstr>
      <vt:lpstr>Total</vt:lpstr>
      <vt:lpstr>Items</vt:lpstr>
      <vt:lpstr>Locations</vt:lpstr>
      <vt:lpstr>Areas</vt:lpstr>
      <vt:lpstr>Boss</vt:lpstr>
      <vt:lpstr>Endings</vt:lpstr>
      <vt:lpstr>ID Range</vt:lpstr>
      <vt:lpstr>Works of Mercy</vt:lpstr>
      <vt:lpstr>Enemies</vt:lpstr>
      <vt:lpstr>Status</vt:lpstr>
      <vt:lpstr>Progressive Weapons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Ulysse DECOTTIGNIES</cp:lastModifiedBy>
  <cp:revision>0</cp:revision>
  <dcterms:created xsi:type="dcterms:W3CDTF">2026-10-24T02:37:55Z</dcterms:created>
  <dcterms:modified xsi:type="dcterms:W3CDTF">2026-10-29T13:29:04Z</dcterms:modified>
  <dc:language>en-US</dc:language>
</cp:coreProperties>
</file>